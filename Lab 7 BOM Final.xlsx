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idan\445LLabs\ValvanoWareTM4C123v5\ece-445l-lab-7-and-10-aidan-alexa-brian-eric-paul\"/>
    </mc:Choice>
  </mc:AlternateContent>
  <xr:revisionPtr revIDLastSave="0" documentId="13_ncr:1_{471D1D69-E3AE-4973-B521-40D5A574E044}" xr6:coauthVersionLast="47" xr6:coauthVersionMax="47" xr10:uidLastSave="{00000000-0000-0000-0000-000000000000}"/>
  <bookViews>
    <workbookView xWindow="1837" yWindow="0" windowWidth="18338" windowHeight="12863" xr2:uid="{00000000-000D-0000-FFFF-FFFF00000000}"/>
  </bookViews>
  <sheets>
    <sheet name="Parts" sheetId="1" r:id="rId1"/>
  </sheets>
  <definedNames>
    <definedName name="_xlnm._FilterDatabase" localSheetId="0" hidden="1">Parts!$A$5:$J$34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1" i="1" l="1"/>
  <c r="J160" i="1"/>
  <c r="J158" i="1"/>
  <c r="J167" i="1" s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165" i="1" l="1"/>
  <c r="J16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ECE_IT:
How many are on your board. If 0, it should probably not clutter your bom up…
</t>
        </r>
      </text>
    </comment>
    <comment ref="B4" authorId="0" shapeId="0" xr:uid="{00000000-0006-0000-0000-000002000000}">
      <text>
        <r>
          <rPr>
            <sz val="10"/>
            <color rgb="FF000000"/>
            <rFont val="Arial"/>
            <scheme val="minor"/>
          </rPr>
          <t xml:space="preserve">ECE_IT:
This is something like C1, R2 , U1, etc. </t>
        </r>
      </text>
    </comment>
  </commentList>
</comments>
</file>

<file path=xl/sharedStrings.xml><?xml version="1.0" encoding="utf-8"?>
<sst xmlns="http://schemas.openxmlformats.org/spreadsheetml/2006/main" count="1042" uniqueCount="521">
  <si>
    <t>Bill of Materials</t>
  </si>
  <si>
    <t>"not free" means you have to buy it</t>
  </si>
  <si>
    <t>"free sample" means you have to order it</t>
  </si>
  <si>
    <t>ECE445L Spring 2025</t>
  </si>
  <si>
    <t>EE445L pays for the PCB</t>
  </si>
  <si>
    <t>"Cabinet means in one of the six black cabinets in professsor's office (bring a print out of your SCH")</t>
  </si>
  <si>
    <r>
      <rPr>
        <b/>
        <sz val="12"/>
        <color theme="1"/>
        <rFont val="Times New Roman"/>
      </rPr>
      <t xml:space="preserve">"Professor" means ask your professor quantity and style will vary </t>
    </r>
    <r>
      <rPr>
        <b/>
        <sz val="12"/>
        <color rgb="FFDD0806"/>
        <rFont val="Times New Roman"/>
      </rPr>
      <t>(bring a print out of your SCH circuit</t>
    </r>
    <r>
      <rPr>
        <b/>
        <sz val="12"/>
        <color theme="1"/>
        <rFont val="Times New Roman"/>
      </rPr>
      <t>)</t>
    </r>
  </si>
  <si>
    <t>Qty Note</t>
  </si>
  <si>
    <t>REF DES Note</t>
  </si>
  <si>
    <r>
      <rPr>
        <b/>
        <sz val="12"/>
        <color theme="1"/>
        <rFont val="Times New Roman"/>
      </rPr>
      <t>"Box means in box in your professor's office (</t>
    </r>
    <r>
      <rPr>
        <b/>
        <sz val="12"/>
        <color rgb="FFDD0806"/>
        <rFont val="Times New Roman"/>
      </rPr>
      <t>bring a print out of your SCH circuit</t>
    </r>
    <r>
      <rPr>
        <b/>
        <sz val="12"/>
        <color theme="1"/>
        <rFont val="Times New Roman"/>
      </rPr>
      <t>)</t>
    </r>
  </si>
  <si>
    <t>Quantity</t>
  </si>
  <si>
    <t>REF DES</t>
  </si>
  <si>
    <t>Type</t>
  </si>
  <si>
    <t>Description</t>
  </si>
  <si>
    <t xml:space="preserve">Manufacturer </t>
  </si>
  <si>
    <t>Mfg. P/N</t>
  </si>
  <si>
    <t>Distributor</t>
  </si>
  <si>
    <t>P/N</t>
  </si>
  <si>
    <t>Unit cost</t>
  </si>
  <si>
    <t>Cost</t>
  </si>
  <si>
    <t>Where to get it?</t>
  </si>
  <si>
    <t>Inventory</t>
  </si>
  <si>
    <t>ASM</t>
  </si>
  <si>
    <t>8-ohm speaker</t>
  </si>
  <si>
    <t>professor</t>
  </si>
  <si>
    <t>9V battery snap, T-type</t>
  </si>
  <si>
    <t>Box</t>
  </si>
  <si>
    <t xml:space="preserve">Black case, 7.5" by 4.3" by 2.2" </t>
  </si>
  <si>
    <t>Hammond</t>
  </si>
  <si>
    <t>1591ESBK</t>
  </si>
  <si>
    <t xml:space="preserve">Mouser </t>
  </si>
  <si>
    <t>546-1591ES-BK</t>
  </si>
  <si>
    <t>http://www.hammondmfg.com/pdf/1591E.pdf</t>
  </si>
  <si>
    <t>Electret microphone</t>
  </si>
  <si>
    <t>Panasonic</t>
  </si>
  <si>
    <t>Cabinet</t>
  </si>
  <si>
    <t>C3,C9</t>
  </si>
  <si>
    <t>CAP</t>
  </si>
  <si>
    <t>Ceramic, X7R, 20%, 1 uF</t>
  </si>
  <si>
    <t>Jameco</t>
  </si>
  <si>
    <t>Ceramic, Z5U, -20/+80%, 0.47 uF</t>
  </si>
  <si>
    <t>Kemet</t>
  </si>
  <si>
    <t>C320C474M5U5TA</t>
  </si>
  <si>
    <t>Digikey</t>
  </si>
  <si>
    <t>399-4309-ND</t>
  </si>
  <si>
    <t>C4,C6,C7,C8</t>
  </si>
  <si>
    <t>Ceramic, Z5U, -20/+80%, 0.1 uF</t>
  </si>
  <si>
    <t>399-4151-ND</t>
  </si>
  <si>
    <t>Ceramic, Z5U, -20/+80%, 0.033 uF</t>
  </si>
  <si>
    <t>399-4298-ND</t>
  </si>
  <si>
    <t>Ceramic, Z5U, -20/+80%, 0.027uF</t>
  </si>
  <si>
    <t>C11,C5</t>
  </si>
  <si>
    <t>Ceramic, Z5U, -20/+80%, 0.01 uF</t>
  </si>
  <si>
    <t xml:space="preserve">399-4148-ND </t>
  </si>
  <si>
    <t>Ceramic, Z5U, -20/+80%, 4.7 nF</t>
  </si>
  <si>
    <t>399-4188-ND</t>
  </si>
  <si>
    <t>Ceramic, Z5U, -20/+80%, 2.2 nF</t>
  </si>
  <si>
    <t>Ceramic, Z5U, -20/+80%, 1 nF</t>
  </si>
  <si>
    <t>Ceramic Z5U, -20/+80%, 470 pF</t>
  </si>
  <si>
    <t>Ceramic Z5U, -20/+80%, 330 pF</t>
  </si>
  <si>
    <t>Ceramic Z5U, -20/+80%, 220 pF</t>
  </si>
  <si>
    <t>Ceramic Z5U, -20/+80%, 100 pF</t>
  </si>
  <si>
    <t>Ceramic Z5U, -20/+80%, 22 pF</t>
  </si>
  <si>
    <t>C1,C2</t>
  </si>
  <si>
    <t>Ceramic C0G, 10%, 10 pF</t>
  </si>
  <si>
    <t xml:space="preserve">Murata 50V 5% </t>
  </si>
  <si>
    <t xml:space="preserve">RDE5C1H100J0P1H03B </t>
  </si>
  <si>
    <t>490-8629-ND</t>
  </si>
  <si>
    <t>not required, we expect most students will create a system with the LaunchPad</t>
  </si>
  <si>
    <t>C10</t>
  </si>
  <si>
    <t>CAP-Tant</t>
  </si>
  <si>
    <t>Tantalum, 16V, 20% 2.2 uF</t>
  </si>
  <si>
    <t>AVX Corporation</t>
  </si>
  <si>
    <t>TAP225M016CCS</t>
  </si>
  <si>
    <t>478-8819-ND</t>
  </si>
  <si>
    <t>C12,C13,C14,C15</t>
  </si>
  <si>
    <t>Tantalum, 16V, 10% 4.7 uF</t>
  </si>
  <si>
    <t>478-1904-ND</t>
  </si>
  <si>
    <t>Tantalum, 20V, 10%, 1 uF</t>
  </si>
  <si>
    <t>478-1833-ND</t>
  </si>
  <si>
    <t>Tantalum, 10UF 20V 10%</t>
  </si>
  <si>
    <t>478-1840-ND</t>
  </si>
  <si>
    <t>Tantalum, 35V, 10%, 0.47 uF</t>
  </si>
  <si>
    <t>CAP-Elec</t>
  </si>
  <si>
    <t>Electrolytic, 16V, 100 uF, cap 20%, ESR=20mV</t>
  </si>
  <si>
    <t>661-APSF160E101MF05S</t>
  </si>
  <si>
    <t>CON</t>
  </si>
  <si>
    <t>2 to 40 pin 0.1 in header (price per pin)</t>
  </si>
  <si>
    <t>AllElectronics</t>
  </si>
  <si>
    <t>SHS-40</t>
  </si>
  <si>
    <t>2-pin header</t>
  </si>
  <si>
    <t>SBH-2</t>
  </si>
  <si>
    <t>2-pin jumper</t>
  </si>
  <si>
    <t>SBC-2</t>
  </si>
  <si>
    <t>J2</t>
  </si>
  <si>
    <t>SJ-1</t>
  </si>
  <si>
    <t>TP2</t>
  </si>
  <si>
    <t>Test point, black</t>
  </si>
  <si>
    <t>Keystone Electronics</t>
  </si>
  <si>
    <t>36-5001K-ND</t>
  </si>
  <si>
    <t>Test point, orange</t>
  </si>
  <si>
    <t>36-5003K-ND</t>
  </si>
  <si>
    <t>Test point, yellow</t>
  </si>
  <si>
    <t>36-5004K-ND</t>
  </si>
  <si>
    <t>TP4</t>
  </si>
  <si>
    <t>Test point, white</t>
  </si>
  <si>
    <t>36-5002K-ND</t>
  </si>
  <si>
    <t>Test point, blue</t>
  </si>
  <si>
    <t>36-5117-ND</t>
  </si>
  <si>
    <t>Test point, green</t>
  </si>
  <si>
    <t>36-5116-ND</t>
  </si>
  <si>
    <t>TP1,TP3</t>
  </si>
  <si>
    <t>Test point, red</t>
  </si>
  <si>
    <t>36-5000K-ND</t>
  </si>
  <si>
    <t>10-pin LCD connector</t>
  </si>
  <si>
    <t>SamTec</t>
  </si>
  <si>
    <t>BCS-110-L-S-TE</t>
  </si>
  <si>
    <t>14-pin LCD connector</t>
  </si>
  <si>
    <t>BCS-114-L-S-TE</t>
  </si>
  <si>
    <t>16-pin LCD connector</t>
  </si>
  <si>
    <t>BCS-116-L-S-TE</t>
  </si>
  <si>
    <t>20-pin LCD connector</t>
  </si>
  <si>
    <t>BCS-120-L-S-TE</t>
  </si>
  <si>
    <t>Socket for micro SD card</t>
  </si>
  <si>
    <t>Molex</t>
  </si>
  <si>
    <t>WM3288CT-ND</t>
  </si>
  <si>
    <t>do not use, rather included on ST7735</t>
  </si>
  <si>
    <t>USB Mini-B socket, board mount, surface mount</t>
  </si>
  <si>
    <t>56579-0576</t>
  </si>
  <si>
    <t>538-56579-0576</t>
  </si>
  <si>
    <t>Micro USB Type B, surface mount</t>
  </si>
  <si>
    <t>Hirose Connector</t>
  </si>
  <si>
    <t>ZX62D-B-5PA8(30)</t>
  </si>
  <si>
    <t>798-ZX62D-B-5PA830</t>
  </si>
  <si>
    <t xml:space="preserve">USB Mini-B socket, board mount, through hole  </t>
  </si>
  <si>
    <t>54819-0519</t>
  </si>
  <si>
    <t>WM17115-ND</t>
  </si>
  <si>
    <t>BoosterPack connector</t>
  </si>
  <si>
    <t>FCI</t>
  </si>
  <si>
    <t>68021-208HLF</t>
  </si>
  <si>
    <t>609-3243-ND</t>
  </si>
  <si>
    <t>J4</t>
  </si>
  <si>
    <t>Logic Analyzer connector</t>
  </si>
  <si>
    <t>609-3344-ND</t>
  </si>
  <si>
    <t>J1</t>
  </si>
  <si>
    <t>JTAG 1 by 5 male header</t>
  </si>
  <si>
    <t>10 pin 2mm socket for Xbee (need two)</t>
  </si>
  <si>
    <t>SQT-110-01-F-S</t>
  </si>
  <si>
    <t>DB9 serial connector, female, board mount</t>
  </si>
  <si>
    <t>U1</t>
  </si>
  <si>
    <t>CPU</t>
  </si>
  <si>
    <t>TM4C123GH6PM 64-pin LQFP</t>
  </si>
  <si>
    <t>TI</t>
  </si>
  <si>
    <t>TM4C123GH6PMI</t>
  </si>
  <si>
    <t>595-TM4C123GH6PMI</t>
  </si>
  <si>
    <t>Y1</t>
  </si>
  <si>
    <t>CRYS</t>
  </si>
  <si>
    <t xml:space="preserve"> NX5032GA-16.000000</t>
  </si>
  <si>
    <t>NDK</t>
  </si>
  <si>
    <t>644-1037-1-ND</t>
  </si>
  <si>
    <t>D4</t>
  </si>
  <si>
    <t>DIODE</t>
  </si>
  <si>
    <t>1N914 diode</t>
  </si>
  <si>
    <t>Fairchild</t>
  </si>
  <si>
    <t>1N914</t>
  </si>
  <si>
    <t>1N914B-ND</t>
  </si>
  <si>
    <t>IC</t>
  </si>
  <si>
    <t>ACCELER DUAL-AX 2.0G 8PLCC</t>
  </si>
  <si>
    <t>Analog Devices</t>
  </si>
  <si>
    <t>ADXL202JQC</t>
  </si>
  <si>
    <t>Quest Components</t>
  </si>
  <si>
    <t>LM2937 3.3 V regulator TO220, 500mA</t>
  </si>
  <si>
    <t>LM2937ET-3.3/NOPB</t>
  </si>
  <si>
    <t>LM2937ET-3.3-ND</t>
  </si>
  <si>
    <t>U3</t>
  </si>
  <si>
    <t>LP2950 3.3V regulator, 100 mA TO-92</t>
  </si>
  <si>
    <t>LP2950-33LPRE3</t>
  </si>
  <si>
    <t>296-31455-1-ND</t>
  </si>
  <si>
    <t>U6</t>
  </si>
  <si>
    <t>78M05 500mA 5V TO-220 regulator</t>
  </si>
  <si>
    <t>National</t>
  </si>
  <si>
    <t>LM78M05</t>
  </si>
  <si>
    <t>OPA4350 quad op amp</t>
  </si>
  <si>
    <t>OPA4350</t>
  </si>
  <si>
    <t>free sample</t>
  </si>
  <si>
    <t>TLV5616 12-bit DAC</t>
  </si>
  <si>
    <t>TLV5616</t>
  </si>
  <si>
    <t xml:space="preserve">TLV5616CP </t>
  </si>
  <si>
    <t>Cabinet or free sample</t>
  </si>
  <si>
    <t>TLV5618 dual 12-bit DAC</t>
  </si>
  <si>
    <t>TLV5618</t>
  </si>
  <si>
    <t xml:space="preserve">TLV5618ACP </t>
  </si>
  <si>
    <t>MAX539 12-bit DAC</t>
  </si>
  <si>
    <t>Maxim-IC</t>
  </si>
  <si>
    <t>MAX539</t>
  </si>
  <si>
    <t>Maxim</t>
  </si>
  <si>
    <t>MAX539ACPA</t>
  </si>
  <si>
    <t>MAX1247 12-bit ADC</t>
  </si>
  <si>
    <t>MAX1247</t>
  </si>
  <si>
    <t>MAX1247ACPE+</t>
  </si>
  <si>
    <t>INA122P instrumentation amp</t>
  </si>
  <si>
    <t xml:space="preserve">INA122P </t>
  </si>
  <si>
    <t>OPA2350 dual op amp</t>
  </si>
  <si>
    <t xml:space="preserve">OPA2350PA </t>
  </si>
  <si>
    <t>1 KD</t>
  </si>
  <si>
    <t>TLC2274 quad op amp</t>
  </si>
  <si>
    <t xml:space="preserve">TLC2274ACN </t>
  </si>
  <si>
    <t>2 HD</t>
  </si>
  <si>
    <t>TPA731 audio amp (pin 1 low) 700mW</t>
  </si>
  <si>
    <t xml:space="preserve">TPA731D </t>
  </si>
  <si>
    <t>3 AD</t>
  </si>
  <si>
    <t>TPA751 audio amp (pin 1 high) 700mW</t>
  </si>
  <si>
    <t xml:space="preserve">TPA751D </t>
  </si>
  <si>
    <t>4 JD</t>
  </si>
  <si>
    <t>LM4041CILPR shunt diode reference</t>
  </si>
  <si>
    <t xml:space="preserve">LM4041CILPR </t>
  </si>
  <si>
    <t>5 CD</t>
  </si>
  <si>
    <t>AD8032 dual op amp</t>
  </si>
  <si>
    <t xml:space="preserve">AD8032ANZ  </t>
  </si>
  <si>
    <t>AD8032ANZ</t>
  </si>
  <si>
    <t>6 BD</t>
  </si>
  <si>
    <t>L293 Motor H bridge</t>
  </si>
  <si>
    <t>L293NE</t>
  </si>
  <si>
    <t>296-9519-5-ND</t>
  </si>
  <si>
    <t>not free</t>
  </si>
  <si>
    <t>7 MD</t>
  </si>
  <si>
    <t>DRV8848</t>
  </si>
  <si>
    <t>DRV8848PWP</t>
  </si>
  <si>
    <t>74HC595</t>
  </si>
  <si>
    <t>8 ED</t>
  </si>
  <si>
    <t>74HC165</t>
  </si>
  <si>
    <t>9 FD</t>
  </si>
  <si>
    <t>74HCT125N</t>
  </si>
  <si>
    <t>SN74HCT125N</t>
  </si>
  <si>
    <t>595-SN74HCT125N</t>
  </si>
  <si>
    <t>RS232 driver</t>
  </si>
  <si>
    <t>STMicroelectronics</t>
  </si>
  <si>
    <t>ST232CN</t>
  </si>
  <si>
    <t>0 ND</t>
  </si>
  <si>
    <t>JACK</t>
  </si>
  <si>
    <t xml:space="preserve">DC Power MALE 2.1mm </t>
  </si>
  <si>
    <t>* LD</t>
  </si>
  <si>
    <t>Stereo Jack, or audio jack</t>
  </si>
  <si>
    <t>MJW-12</t>
  </si>
  <si>
    <t>87YY3212A</t>
  </si>
  <si>
    <t>KEY</t>
  </si>
  <si>
    <t>3 by 4 common bus (D), keypad</t>
  </si>
  <si>
    <t>Grayhill</t>
  </si>
  <si>
    <t>87YY3212A-506</t>
  </si>
  <si>
    <t>BGMicro</t>
  </si>
  <si>
    <t>SWT1109</t>
  </si>
  <si>
    <t>http://docs.bgmicro.com/pdf/swt1109.pdf</t>
  </si>
  <si>
    <t>LCD</t>
  </si>
  <si>
    <t>84 by 48 LCD</t>
  </si>
  <si>
    <t>Nokia</t>
  </si>
  <si>
    <t>Sparkfun</t>
  </si>
  <si>
    <t>U2</t>
  </si>
  <si>
    <t xml:space="preserve">18-bit color 128*160 1.8" TFT LCD display </t>
  </si>
  <si>
    <t>Sitronix</t>
  </si>
  <si>
    <t xml:space="preserve"> ST7735R </t>
  </si>
  <si>
    <t>Adafruit</t>
  </si>
  <si>
    <t>D3</t>
  </si>
  <si>
    <t>LED</t>
  </si>
  <si>
    <t>Green 2mA 5mm diffused</t>
  </si>
  <si>
    <t>Avago Technologies</t>
  </si>
  <si>
    <t>HLMP-4740</t>
  </si>
  <si>
    <t>516-1327-ND</t>
  </si>
  <si>
    <t>D2</t>
  </si>
  <si>
    <t>Red 1.6V 1mA 5mm diffused</t>
  </si>
  <si>
    <t>HLMP-D150</t>
  </si>
  <si>
    <t>516-1323-ND</t>
  </si>
  <si>
    <t>Yellow 2mA 5mm diffused</t>
  </si>
  <si>
    <t>HLMP-4719</t>
  </si>
  <si>
    <t>516-1326-ND</t>
  </si>
  <si>
    <t>Orange 10mA 5mm diffused</t>
  </si>
  <si>
    <t>HLMP-D401</t>
  </si>
  <si>
    <t>516-1330-ND</t>
  </si>
  <si>
    <t>Blue 10mA 5mm diffused</t>
  </si>
  <si>
    <t>warning, the blue LEDs are very bright</t>
  </si>
  <si>
    <t>PCB</t>
  </si>
  <si>
    <t>PCB plus shipping</t>
  </si>
  <si>
    <t>JLCPCB</t>
  </si>
  <si>
    <t>http://www.4pcb.com/</t>
  </si>
  <si>
    <t>POT</t>
  </si>
  <si>
    <t>20K LINEAR SLIDE POT</t>
  </si>
  <si>
    <t>10 K one-turn potentiometer</t>
  </si>
  <si>
    <t>20 K one-turn potentiometer</t>
  </si>
  <si>
    <t>RES</t>
  </si>
  <si>
    <t>Carbon 1/6W, 5%, 100</t>
  </si>
  <si>
    <t>Yageo</t>
  </si>
  <si>
    <t>CFR-12JB-100R</t>
  </si>
  <si>
    <t>100EBK-ND</t>
  </si>
  <si>
    <t>Carbon 1/6W, 5%, 220</t>
  </si>
  <si>
    <t>CFR-12JB-220R</t>
  </si>
  <si>
    <t>220EBK-ND</t>
  </si>
  <si>
    <t>Carbon 1/6W, 5%, 270</t>
  </si>
  <si>
    <t>CFR-12JB-270R</t>
  </si>
  <si>
    <t>270EBK-ND</t>
  </si>
  <si>
    <t>R5</t>
  </si>
  <si>
    <t>Carbon 1/6W, 5%, 330</t>
  </si>
  <si>
    <t>CFR-12JB-330R</t>
  </si>
  <si>
    <t>330EBK-ND</t>
  </si>
  <si>
    <t>Carbon 1/6W, 5%, 470</t>
  </si>
  <si>
    <t>CFR-12JB-470R</t>
  </si>
  <si>
    <t>470EBK-ND</t>
  </si>
  <si>
    <t>Carbon 1/6W, 5%, 510</t>
  </si>
  <si>
    <t>CFR-12JB-510R</t>
  </si>
  <si>
    <t>510EBK-ND</t>
  </si>
  <si>
    <t>Carbon 1/6W, 5%, 680</t>
  </si>
  <si>
    <t>CFR-12JB-680R</t>
  </si>
  <si>
    <t>680EBK-ND</t>
  </si>
  <si>
    <t>R6</t>
  </si>
  <si>
    <t>Carbon 1/6W, 5%, 820</t>
  </si>
  <si>
    <t>CFR-12JB-820R</t>
  </si>
  <si>
    <t>820EBK-ND</t>
  </si>
  <si>
    <t>Carbon 1/6W, 5%, 1K</t>
  </si>
  <si>
    <t>CFR-12JB-1K0</t>
  </si>
  <si>
    <t>1.0KEBK-ND</t>
  </si>
  <si>
    <t>Carbon 1/6W, 5%, 1.2K</t>
  </si>
  <si>
    <t>CFR-12JB-1K2</t>
  </si>
  <si>
    <t>1.2KEBK-ND</t>
  </si>
  <si>
    <t>Carbon 1/6W, 5%, 1.5K</t>
  </si>
  <si>
    <t>CFR-12JB-1K5</t>
  </si>
  <si>
    <t>1.5KEBK-ND</t>
  </si>
  <si>
    <t>Carbon 1/6W, 5%, 1.8K</t>
  </si>
  <si>
    <t>CFR-12JB-1K8</t>
  </si>
  <si>
    <t>1.8KEBK-ND</t>
  </si>
  <si>
    <t>Carbon 1/6W, 5%, 2.0K</t>
  </si>
  <si>
    <t>CFR-12JB-2K0</t>
  </si>
  <si>
    <t>2.0KEBK-ND</t>
  </si>
  <si>
    <t>Carbon 1/6W, 5%, 2.2K</t>
  </si>
  <si>
    <t>CFR-12JB-2K2</t>
  </si>
  <si>
    <t>2.2KEBK-ND</t>
  </si>
  <si>
    <t>Carbon 1/6W, 5%, 2.7K</t>
  </si>
  <si>
    <t>CFR-12JB-2K7</t>
  </si>
  <si>
    <t>2.7KEBK-ND</t>
  </si>
  <si>
    <t>Carbon 1/6W, 5%, 3.3K</t>
  </si>
  <si>
    <t>CFR-12JB-3K3</t>
  </si>
  <si>
    <t>3.3KEBK-ND</t>
  </si>
  <si>
    <t>Carbon 1/6W, 5%, 3.9K</t>
  </si>
  <si>
    <t>CFR-12JB-3K9</t>
  </si>
  <si>
    <t>3.9KEBK-ND</t>
  </si>
  <si>
    <t>Carbon 1/6W, 5%, 4.7K</t>
  </si>
  <si>
    <t>CFR-12JB-4K7</t>
  </si>
  <si>
    <t>4.7KEBK-ND</t>
  </si>
  <si>
    <t>Carbon 1/6W, 5%, 5.1K</t>
  </si>
  <si>
    <t>CFR-12JB-5K1</t>
  </si>
  <si>
    <t>5.1KEBK-ND</t>
  </si>
  <si>
    <t>Carbon 1/6W, 5%, 5.6K</t>
  </si>
  <si>
    <t>CFR-12JB-5K6</t>
  </si>
  <si>
    <t>5.6KEBK-ND</t>
  </si>
  <si>
    <t>Carbon 1/6W, 5%, 6.8K</t>
  </si>
  <si>
    <t>CFR-12JB-6K8</t>
  </si>
  <si>
    <t>6.8KEBK-ND</t>
  </si>
  <si>
    <t>Carbon 1/6W, 5%, 8.2K</t>
  </si>
  <si>
    <t>CFR-12JB-8K2</t>
  </si>
  <si>
    <t>8.2KEBK-ND</t>
  </si>
  <si>
    <t>R2,R3,R7</t>
  </si>
  <si>
    <t>Carbon 1/6W, 5%, 10K</t>
  </si>
  <si>
    <t>CFR-12JB-10K</t>
  </si>
  <si>
    <t>10KEBK-ND</t>
  </si>
  <si>
    <t>Carbon 1/6W, 5%, 12K</t>
  </si>
  <si>
    <t>CFR-12JB-12K</t>
  </si>
  <si>
    <t>12KEBK-ND</t>
  </si>
  <si>
    <t>Carbon 1/6W, 5%, 15K</t>
  </si>
  <si>
    <t>CFR-12JB-15K</t>
  </si>
  <si>
    <t>15KEBK-ND</t>
  </si>
  <si>
    <t>http://www.kemet.com/kemet/web/homepage/kechome.nsf/vapubfiles/F3101_GoldMax.pdf/$file/F3101_GoldMax.pdf</t>
  </si>
  <si>
    <t>Carbon 1/6W, 5%, 18K</t>
  </si>
  <si>
    <t>CFR-12JB-18K</t>
  </si>
  <si>
    <t>18KEBK-ND</t>
  </si>
  <si>
    <t>Carbon 1/6W, 5%, 20K</t>
  </si>
  <si>
    <t>CFR-12JB-20K</t>
  </si>
  <si>
    <t>20KEBK-ND</t>
  </si>
  <si>
    <t>Carbon 1/6W, 5%, 22K</t>
  </si>
  <si>
    <t>CFR-12JB-22K</t>
  </si>
  <si>
    <t>22KEBK-ND</t>
  </si>
  <si>
    <t>Carbon 1/6W, 5%, 27K</t>
  </si>
  <si>
    <t>CFR-12JB-27K</t>
  </si>
  <si>
    <t>27KEBK-ND</t>
  </si>
  <si>
    <t>Carbon 1/6W, 5%, 36K</t>
  </si>
  <si>
    <t>CFR-12JB-36K</t>
  </si>
  <si>
    <t>36KEBK-ND</t>
  </si>
  <si>
    <t>Carbon 1/6W, 5%, 33K</t>
  </si>
  <si>
    <t>CFR-12JB-33K</t>
  </si>
  <si>
    <t>33KEBK-ND</t>
  </si>
  <si>
    <t>Carbon 1/6W, 5%, 39K</t>
  </si>
  <si>
    <t>CFR-12JB-39K</t>
  </si>
  <si>
    <t>39KEBK-ND</t>
  </si>
  <si>
    <t>Carbon 1/6W, 5%, 47K</t>
  </si>
  <si>
    <t>CFR-12JB-47K</t>
  </si>
  <si>
    <t>47KEBK-ND</t>
  </si>
  <si>
    <t>Carbon 1/6W, 5%, 51K</t>
  </si>
  <si>
    <t>CFR-12JB-51K</t>
  </si>
  <si>
    <t>51KEBK-ND</t>
  </si>
  <si>
    <t>Carbon 1/6W, 5%, 56K</t>
  </si>
  <si>
    <t>CFR-12JB-56K</t>
  </si>
  <si>
    <t>56KEBK-ND</t>
  </si>
  <si>
    <t>Carbon 1/6W, 5%, 68K</t>
  </si>
  <si>
    <t>CFR-12JB-68K</t>
  </si>
  <si>
    <t>68KEBK-ND</t>
  </si>
  <si>
    <t>Carbon 1/6W, 5%, 82K</t>
  </si>
  <si>
    <t>CFR-12JB-82K</t>
  </si>
  <si>
    <t>82KEBK-ND</t>
  </si>
  <si>
    <t>Carbon 1/6W, 5%, 100K</t>
  </si>
  <si>
    <t>CFR-12JB-100K</t>
  </si>
  <si>
    <t>100KEBK-ND</t>
  </si>
  <si>
    <t>Carbon 1/6W, 5%, 120K</t>
  </si>
  <si>
    <t>CFR-12JB-120K</t>
  </si>
  <si>
    <t>120KEBK-ND</t>
  </si>
  <si>
    <t>Carbon 1/6W, 5%, 150K</t>
  </si>
  <si>
    <t>CFR-12JB-150K</t>
  </si>
  <si>
    <t>150KEBK-ND</t>
  </si>
  <si>
    <t>Carbon 1/6W, 5%, 180K</t>
  </si>
  <si>
    <t>CFR-12JB-180K</t>
  </si>
  <si>
    <t>180KEBK-ND</t>
  </si>
  <si>
    <t>Carbon 1/6W, 5%, 200K</t>
  </si>
  <si>
    <t>CFR-12JB-200K</t>
  </si>
  <si>
    <t>200KEBK-ND</t>
  </si>
  <si>
    <t>Carbon 1/6W, 5%, 220K</t>
  </si>
  <si>
    <t>CFR-12JB-220K</t>
  </si>
  <si>
    <t>220KEBK-ND</t>
  </si>
  <si>
    <t>Carbon 1/6W, 5%, 240K</t>
  </si>
  <si>
    <t>CFR-12JB-240K</t>
  </si>
  <si>
    <t>240KEBK-ND</t>
  </si>
  <si>
    <t>Carbon 1/6W, 5%, 270K</t>
  </si>
  <si>
    <t>CFR-12JB-270K</t>
  </si>
  <si>
    <t>270KEBK-ND</t>
  </si>
  <si>
    <t>Carbon 1/6W, 5%, 330K</t>
  </si>
  <si>
    <t>CFR-12JB-330K</t>
  </si>
  <si>
    <t>330KEBK-ND</t>
  </si>
  <si>
    <t>Carbon 1/6W, 5%, 390K</t>
  </si>
  <si>
    <t>CFR-12JB-390K</t>
  </si>
  <si>
    <t>390KEBK-ND</t>
  </si>
  <si>
    <t>Carbon 1/6W, 5%, 470K</t>
  </si>
  <si>
    <t>CFR-12JB-470K</t>
  </si>
  <si>
    <t>470KEBK-ND</t>
  </si>
  <si>
    <t>Carbon 1/6W, 5%, 510K</t>
  </si>
  <si>
    <t>CFR-12JB-510K</t>
  </si>
  <si>
    <t>510KEBK-ND</t>
  </si>
  <si>
    <t>Carbon 1/6W, 5%, 560K</t>
  </si>
  <si>
    <t>CFR-12JB-560K</t>
  </si>
  <si>
    <t>560KEBK-ND</t>
  </si>
  <si>
    <t>Carbon 1/6W, 5%, 680K</t>
  </si>
  <si>
    <t>CFR-12JB-680K</t>
  </si>
  <si>
    <t>680KEBK-ND</t>
  </si>
  <si>
    <t>Carbon 1/6W, 5%, 820K</t>
  </si>
  <si>
    <t>CFR-12JB-820K</t>
  </si>
  <si>
    <t>820KEBK-ND</t>
  </si>
  <si>
    <t>R1</t>
  </si>
  <si>
    <t>Carbon 1/6W, 5%, 1M</t>
  </si>
  <si>
    <t>CFR-12JB-1M0</t>
  </si>
  <si>
    <t>1.0MEBK-ND</t>
  </si>
  <si>
    <t>Carbon 1/6W, 5%, 10M</t>
  </si>
  <si>
    <t>CFR-12JB-10M</t>
  </si>
  <si>
    <t>10MEBK-ND</t>
  </si>
  <si>
    <t>SW1, SW2</t>
  </si>
  <si>
    <t>SW</t>
  </si>
  <si>
    <t>Tactile Switch, surface mount</t>
  </si>
  <si>
    <t>C&amp;K Components</t>
  </si>
  <si>
    <t>KSC353JLFG</t>
  </si>
  <si>
    <t>611-KSC353JLFG</t>
  </si>
  <si>
    <t xml:space="preserve">B3F tactile push button switch </t>
  </si>
  <si>
    <t>Omron Electronics</t>
  </si>
  <si>
    <t>B3F-1052</t>
  </si>
  <si>
    <t>SW405-ND</t>
  </si>
  <si>
    <t>Black Off board momentary push buttom</t>
  </si>
  <si>
    <t>Red Off board momentary push buttom</t>
  </si>
  <si>
    <t>On/off power switch</t>
  </si>
  <si>
    <t>SWT1010</t>
  </si>
  <si>
    <t>TRAN</t>
  </si>
  <si>
    <t>PN2222 NPN transistor</t>
  </si>
  <si>
    <t>Fairchild Semiconductor</t>
  </si>
  <si>
    <t>PN2222</t>
  </si>
  <si>
    <t>PN2222BU-ND</t>
  </si>
  <si>
    <t>be careful to get pins 1 and 3 correct, there are two versions of the chip: 2N2222 and PN2222</t>
  </si>
  <si>
    <t>TIP120 Darlington NPN, TO220</t>
  </si>
  <si>
    <t>TIP120</t>
  </si>
  <si>
    <t>TIP120-ND</t>
  </si>
  <si>
    <t>TIP125 Darlington PNP, TO220</t>
  </si>
  <si>
    <t>TIP125</t>
  </si>
  <si>
    <t>TIP125TU-ND</t>
  </si>
  <si>
    <t>IRF540 MOSFET N-channel, TO220</t>
  </si>
  <si>
    <t>IRF540</t>
  </si>
  <si>
    <t>IRF540NPBF-ND</t>
  </si>
  <si>
    <t>Q1, Q2</t>
  </si>
  <si>
    <t>IRLD120PBF</t>
  </si>
  <si>
    <t>N-MOSFET</t>
  </si>
  <si>
    <t>DIP-4</t>
  </si>
  <si>
    <t>844-IRLD120PBF</t>
  </si>
  <si>
    <t>U4, U5,U7</t>
  </si>
  <si>
    <t>Ultrasonic Distance Sensor</t>
  </si>
  <si>
    <t>HiLetGo</t>
  </si>
  <si>
    <t>HC-SR04</t>
  </si>
  <si>
    <t>Amazon</t>
  </si>
  <si>
    <t>https://www.amazon.com/HiLetgo-HC-SR04-Ultrasonic-Distance-MEGA2560/dp/B00E87VXH0</t>
  </si>
  <si>
    <t>TOY</t>
  </si>
  <si>
    <t>Rhode Island Novelty 1.5 Inch Plastic Ping Pong Ball, Pack of 12</t>
  </si>
  <si>
    <t>Rhode Island Novelty</t>
  </si>
  <si>
    <t>free</t>
  </si>
  <si>
    <t>https://www.amazon.com/Rhode-Island-Novelty-Plastic-PING/dp/B003EDWJNQ/ref=sr_1_4?crid=24UMNC1JRVWKJ&amp;dib=eyJ2IjoiMSJ9.FzkvCFKgqwfgCiZs0m-X_BDRlp82pKeAgWrt3mEHPY9m9KPbVwRuUBHe-RNYL_QSrPtFB4RcDwjghodD_MH-fYnrfoTZL0jUQ523lKakLoDb--kzFUkH6YYsw5Cu8zwQp8FJEGonP3jaLAcFy_I9em_LLiFXcbGqRcneRkL9JrnAxYUSOkkMbfu1AocRO9Orz_syeG63rjeaCb_Ip2JaRrz1MQtwEpg8jVdtQsVMupCRkE8ffMGhZeiS0A96rXEwDy_h0HzHUq0Ib5b9YVLhy_YxDoWUKvdQMkMa7lZLvUGoWRtJYHzVbP19OatjxplSFE7PDTgcbOdCAO9gogHxZfPUvSo6tyjgFvjzCTTfcfGN2_wfog0lWIccZz701FmdoaHNNl6FZ2wpPlaZRgUX6ePJeaY0bOEyfJDO8U4bG4IeN_KEAyelKhl5bAVNjk1d.DBe_VC4iLSti76VunBNRTBNj1XekRIyxG1FMqCmnuYI&amp;dib_tag=se&amp;keywords=ping+pong+balls&amp;qid=1741458096&amp;refinements=p_85%3A2470955011&amp;rnid=2470954011&amp;rps=1&amp;sprefix=ping+pong+balls+%2Caps%2C297&amp;sr=8-4</t>
  </si>
  <si>
    <t>MECCANIXITY Acrylic Pipe Clear Rigid Round Tube 42mm(1.6") ID 45mm(1 3/4") OD 6" for Lamps and Lanterns, Water Cooling System</t>
  </si>
  <si>
    <t>MECCANIXITY</t>
  </si>
  <si>
    <t>https://www.amazon.com/MECCANIXITY-Acrylic-Lanterns-Cooling-System/dp/B0B9BZ8Z6S/ref=sr_1_3?crid=1FVNNJ7XM3WCR&amp;dib=eyJ2IjoiMSJ9.Q8h0E4jTodqg81AeHz1HMON0NDj2H25eP1X6IYgQcPC5IfMWEsm4cxRk66nUII2-XsNJRYqPbNDYe2Vogv4W11q6YQ1zYuSuWPRG4rjADqM95S13wveKVUaHBq1BBLNDFeZbnbXrSu4lTIDv2T5nFNgwUr3T0Ez-Y5ZdbAe4cVhI9NM5MDjlgKms8LcOzQ3TXqUfTJCxrJJNgruM-b79abSAA4XRnAwEf138gF-xOYc.tzJRmDXiseNig0CR1Mujhmfs9JgtihcNPWrPgf6jRzM&amp;dib_tag=se&amp;keywords=45+mm+id+clear+pipe&amp;qid=1741710628&amp;sprefix=45+mm+id+clear+pipe%2Caps%2C150&amp;sr=8-3</t>
  </si>
  <si>
    <t>J2, J6</t>
  </si>
  <si>
    <t>MOTOR</t>
  </si>
  <si>
    <t>Brushed Motors</t>
  </si>
  <si>
    <t>EUDAX</t>
  </si>
  <si>
    <t>B08GPPJR1T</t>
  </si>
  <si>
    <t>https://www.amazon.com/dp/B08GPPJR1T?ref=ppx_yo2ov_dt_b_fed_asin_title</t>
  </si>
  <si>
    <t>TF Luna LIDAR sensor (too expensive)</t>
  </si>
  <si>
    <t>Mouser</t>
  </si>
  <si>
    <t>SJ-GU-TF-Luna A01</t>
  </si>
  <si>
    <t>A01</t>
  </si>
  <si>
    <t>https://www.amazon.com/Benewake-TF-Luna-Single-Point-Ranging-Interface/dp/B086MJQSLR</t>
  </si>
  <si>
    <t>4 pin connectors</t>
  </si>
  <si>
    <t>Wowoone</t>
  </si>
  <si>
    <t>https://www.amazon.com/WOWOONE-Connector-Female-Cables-Batteries/dp/B08R9VVD6L/ref=sxin_16_pa_sp_search_thematic_sspa?content-id=amzn1.sym.95e4d6bd-d93f-4ee1-9766-ff64f54d2f71%3Aamzn1.sym.95e4d6bd-d93f-4ee1-9766-ff64f54d2f71&amp;cv_ct_cx=4+pin+female+connector&amp;keywords=4+pin+female+connector&amp;pd_rd_i=B08R9VVD6L&amp;pd_rd_r=d439c4d3-6e19-4166-979c-c3f4bbb5029c&amp;pd_rd_w=7EskJ&amp;pd_rd_wg=Gg0sf&amp;pf_rd_p=95e4d6bd-d93f-4ee1-9766-ff64f54d2f71&amp;pf_rd_r=G8ZPKHBZ30J02B47GRB6&amp;qid=1741731410&amp;sbo=RZvfv%2F%2FHxDF%2BO5021pAnSA%3D%3D&amp;sr=1-4-6024b2a3-78e4-4fed-8fed-e1613be3bcce-spons&amp;sp_csd=d2lkZ2V0TmFtZT1zcF9zZWFyY2hfdGhlbWF0aWM&amp;psc=1</t>
  </si>
  <si>
    <t>Adafruit USBC Breakout</t>
  </si>
  <si>
    <t>https://www.adafruit.com/product/4090</t>
  </si>
  <si>
    <t>J8,J9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</si>
</sst>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[$-409]mmmm\ d\,\ yyyy"/>
    <numFmt numFmtId="165" formatCode="&quot;$&quot;#,##0.00"/>
  </numFmts>
  <fonts count="15">
    <font>
      <sz val="10"/>
      <color rgb="FF000000"/>
      <name val="Arial"/>
      <scheme val="minor"/>
    </font>
    <font>
      <b/>
      <sz val="12"/>
      <color theme="1"/>
      <name val="Times New Roman"/>
    </font>
    <font>
      <b/>
      <sz val="12"/>
      <color rgb="FFFF6600"/>
      <name val="Times New Roman"/>
    </font>
    <font>
      <sz val="12"/>
      <color theme="1"/>
      <name val="Times New Roman"/>
    </font>
    <font>
      <b/>
      <sz val="14"/>
      <color rgb="FF006100"/>
      <name val="Calibri"/>
    </font>
    <font>
      <b/>
      <sz val="12"/>
      <color rgb="FF008000"/>
      <name val="Times New Roman"/>
    </font>
    <font>
      <u/>
      <sz val="12"/>
      <color rgb="FF0000D4"/>
      <name val="Times New Roman"/>
    </font>
    <font>
      <u/>
      <sz val="10"/>
      <color rgb="FF0000D4"/>
      <name val="Arial"/>
    </font>
    <font>
      <u/>
      <sz val="12"/>
      <color rgb="FF0000FF"/>
      <name val="Times New Roman"/>
    </font>
    <font>
      <u/>
      <sz val="12"/>
      <color rgb="FF0000FF"/>
      <name val="Times New Roman"/>
    </font>
    <font>
      <sz val="11"/>
      <color rgb="FF0F1111"/>
      <name val="&quot;Amazon Ember&quot;"/>
    </font>
    <font>
      <b/>
      <sz val="12"/>
      <color rgb="FFDD0806"/>
      <name val="Times New Roman"/>
    </font>
    <font>
      <u/>
      <sz val="10"/>
      <color theme="10"/>
      <name val="Arial"/>
      <scheme val="minor"/>
    </font>
    <font>
      <sz val="12"/>
      <color rgb="FF000000"/>
      <name val="Times New Roman"/>
      <family val="1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5" fontId="3" fillId="0" borderId="0" xfId="0" applyNumberFormat="1" applyFont="1" applyAlignment="1">
      <alignment horizontal="right"/>
    </xf>
    <xf numFmtId="0" fontId="3" fillId="0" borderId="0" xfId="0" applyFont="1"/>
    <xf numFmtId="0" fontId="4" fillId="2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/>
    <xf numFmtId="0" fontId="7" fillId="0" borderId="0" xfId="0" applyFont="1"/>
    <xf numFmtId="0" fontId="3" fillId="0" borderId="0" xfId="0" applyFont="1" applyAlignment="1">
      <alignment wrapText="1"/>
    </xf>
    <xf numFmtId="0" fontId="3" fillId="0" borderId="2" xfId="0" applyFont="1" applyBorder="1" applyAlignment="1">
      <alignment horizontal="lef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/>
    <xf numFmtId="0" fontId="8" fillId="0" borderId="2" xfId="0" applyFont="1" applyBorder="1"/>
    <xf numFmtId="0" fontId="9" fillId="0" borderId="0" xfId="0" applyFont="1"/>
    <xf numFmtId="0" fontId="10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13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8" fontId="13" fillId="0" borderId="1" xfId="0" applyNumberFormat="1" applyFont="1" applyBorder="1" applyAlignment="1">
      <alignment horizontal="right" wrapText="1"/>
    </xf>
    <xf numFmtId="0" fontId="12" fillId="5" borderId="1" xfId="1" applyFill="1" applyBorder="1" applyAlignment="1">
      <alignment wrapText="1"/>
    </xf>
    <xf numFmtId="0" fontId="13" fillId="0" borderId="1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WOWOONE-Connector-Female-Cables-Batteries/dp/B08R9VVD6L/ref=sxin_16_pa_sp_search_thematic_sspa?content-id=amzn1.sym.95e4d6bd-d93f-4ee1-9766-ff64f54d2f71%3Aamzn1.sym.95e4d6bd-d93f-4ee1-9766-ff64f54d2f71&amp;cv_ct_cx=4+pin+female+connector&amp;keywords=4+pin+female+connector&amp;pd_rd_i=B08R9VVD6L&amp;pd_rd_r=d439c4d3-6e19-4166-979c-c3f4bbb5029c&amp;pd_rd_w=7EskJ&amp;pd_rd_wg=Gg0sf&amp;pf_rd_p=95e4d6bd-d93f-4ee1-9766-ff64f54d2f71&amp;pf_rd_r=G8ZPKHBZ30J02B47GRB6&amp;qid=1741731410&amp;sbo=RZvfv%2F%2FHxDF%2BO5021pAnSA%3D%3D&amp;sr=1-4-6024b2a3-78e4-4fed-8fed-e1613be3bcce-spons&amp;sp_csd=d2lkZ2V0TmFtZT1zcF9zZWFyY2hfdGhlbWF0aWM&amp;psc=1" TargetMode="External"/><Relationship Id="rId3" Type="http://schemas.openxmlformats.org/officeDocument/2006/relationships/hyperlink" Target="https://www.amazon.com/HiLetgo-HC-SR04-Ultrasonic-Distance-MEGA2560/dp/B00E87VXH0" TargetMode="External"/><Relationship Id="rId7" Type="http://schemas.openxmlformats.org/officeDocument/2006/relationships/hyperlink" Target="https://www.amazon.com/Benewake-TF-Luna-Single-Point-Ranging-Interface/dp/B086MJQSLR" TargetMode="External"/><Relationship Id="rId2" Type="http://schemas.openxmlformats.org/officeDocument/2006/relationships/hyperlink" Target="http://www.hammondmfg.com/pdf/1591E.pdf" TargetMode="External"/><Relationship Id="rId1" Type="http://schemas.openxmlformats.org/officeDocument/2006/relationships/hyperlink" Target="http://projects.ece.utexas.edu/valvano/wiki/doku.php?id=pcbartist:schematics" TargetMode="External"/><Relationship Id="rId6" Type="http://schemas.openxmlformats.org/officeDocument/2006/relationships/hyperlink" Target="https://www.amazon.com/dp/B08GPPJR1T?ref=ppx_yo2ov_dt_b_fed_asin_title" TargetMode="External"/><Relationship Id="rId11" Type="http://schemas.openxmlformats.org/officeDocument/2006/relationships/comments" Target="../comments1.xml"/><Relationship Id="rId5" Type="http://schemas.openxmlformats.org/officeDocument/2006/relationships/hyperlink" Target="https://www.amazon.com/MECCANIXITY-Acrylic-Lanterns-Cooling-System/dp/B0B9BZ8Z6S/ref=sr_1_3?crid=1FVNNJ7XM3WCR&amp;dib=eyJ2IjoiMSJ9.Q8h0E4jTodqg81AeHz1HMON0NDj2H25eP1X6IYgQcPC5IfMWEsm4cxRk66nUII2-XsNJRYqPbNDYe2Vogv4W11q6YQ1zYuSuWPRG4rjADqM95S13wveKVUaHBq1BBLNDFeZbnbXrSu4lTIDv2T5nFNgwUr3T0Ez-Y5ZdbAe4cVhI9NM5MDjlgKms8LcOzQ3TXqUfTJCxrJJNgruM-b79abSAA4XRnAwEf138gF-xOYc.tzJRmDXiseNig0CR1Mujhmfs9JgtihcNPWrPgf6jRzM&amp;dib_tag=se&amp;keywords=45+mm+id+clear+pipe&amp;qid=1741710628&amp;sprefix=45+mm+id+clear+pipe%2Caps%2C150&amp;sr=8-3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s://www.amazon.com/Rhode-Island-Novelty-Plastic-PING/dp/B003EDWJNQ/ref=sr_1_4?crid=24UMNC1JRVWKJ&amp;dib=eyJ2IjoiMSJ9.FzkvCFKgqwfgCiZs0m-X_BDRlp82pKeAgWrt3mEHPY9m9KPbVwRuUBHe-RNYL_QSrPtFB4RcDwjghodD_MH-fYnrfoTZL0jUQ523lKakLoDb--kzFUkH6YYsw5Cu8zwQp8FJEGonP3jaLAcFy_I9em_LLiFXcbGqRcneRkL9JrnAxYUSOkkMbfu1AocRO9Orz_syeG63rjeaCb_Ip2JaRrz1MQtwEpg8jVdtQsVMupCRkE8ffMGhZeiS0A96rXEwDy_h0HzHUq0Ib5b9YVLhy_YxDoWUKvdQMkMa7lZLvUGoWRtJYHzVbP19OatjxplSFE7PDTgcbOdCAO9gogHxZfPUvSo6tyjgFvjzCTTfcfGN2_wfog0lWIccZz701FmdoaHNNl6FZ2wpPlaZRgUX6ePJeaY0bOEyfJDO8U4bG4IeN_KEAyelKhl5bAVNjk1d.DBe_VC4iLSti76VunBNRTBNj1XekRIyxG1FMqCmnuYI&amp;dib_tag=se&amp;keywords=ping+pong+balls&amp;qid=1741458096&amp;refinements=p_85%3A2470955011&amp;rnid=2470954011&amp;rps=1&amp;sprefix=ping+pong+balls+%2Caps%2C297&amp;sr=8-4" TargetMode="External"/><Relationship Id="rId9" Type="http://schemas.openxmlformats.org/officeDocument/2006/relationships/hyperlink" Target="https://www.adafruit.com/product/40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topLeftCell="A13" workbookViewId="0">
      <selection activeCell="A27" sqref="A27"/>
    </sheetView>
  </sheetViews>
  <sheetFormatPr defaultColWidth="12.59765625" defaultRowHeight="15" customHeight="1"/>
  <cols>
    <col min="1" max="1" width="9.1328125" customWidth="1"/>
    <col min="2" max="2" width="15.86328125" customWidth="1"/>
    <col min="3" max="3" width="11.265625" customWidth="1"/>
    <col min="4" max="4" width="46.73046875" customWidth="1"/>
    <col min="5" max="5" width="25" customWidth="1"/>
    <col min="6" max="6" width="23.265625" customWidth="1"/>
    <col min="7" max="7" width="18" customWidth="1"/>
    <col min="8" max="8" width="24.73046875" customWidth="1"/>
    <col min="9" max="9" width="11.1328125" customWidth="1"/>
    <col min="10" max="10" width="9.1328125" customWidth="1"/>
    <col min="11" max="11" width="11.3984375" customWidth="1"/>
    <col min="12" max="12" width="75.86328125" customWidth="1"/>
    <col min="13" max="26" width="11.3984375" customWidth="1"/>
  </cols>
  <sheetData>
    <row r="1" spans="1:26" ht="15.75" customHeight="1">
      <c r="A1" s="1" t="s">
        <v>0</v>
      </c>
      <c r="B1" s="1"/>
      <c r="C1" s="1"/>
      <c r="D1" s="2">
        <v>45664</v>
      </c>
      <c r="E1" s="3" t="s">
        <v>1</v>
      </c>
      <c r="F1" s="1"/>
      <c r="G1" s="1" t="s">
        <v>2</v>
      </c>
      <c r="H1" s="1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1" t="s">
        <v>3</v>
      </c>
      <c r="B2" s="1"/>
      <c r="C2" s="1"/>
      <c r="D2" s="6" t="s">
        <v>4</v>
      </c>
      <c r="E2" s="7" t="s">
        <v>5</v>
      </c>
      <c r="F2" s="1"/>
      <c r="G2" s="1"/>
      <c r="H2" s="1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1"/>
      <c r="B3" s="1"/>
      <c r="C3" s="1"/>
      <c r="D3" s="1"/>
      <c r="E3" s="1" t="s">
        <v>6</v>
      </c>
      <c r="F3" s="1"/>
      <c r="G3" s="1"/>
      <c r="H3" s="1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A4" s="8" t="s">
        <v>7</v>
      </c>
      <c r="B4" s="9" t="s">
        <v>8</v>
      </c>
      <c r="C4" s="8"/>
      <c r="D4" s="8"/>
      <c r="E4" s="10" t="s">
        <v>9</v>
      </c>
      <c r="F4" s="8"/>
      <c r="G4" s="8"/>
      <c r="H4" s="8"/>
      <c r="I4" s="4"/>
      <c r="J4" s="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8" t="s">
        <v>10</v>
      </c>
      <c r="B5" s="8" t="s">
        <v>11</v>
      </c>
      <c r="C5" s="8" t="s">
        <v>12</v>
      </c>
      <c r="D5" s="8" t="s">
        <v>13</v>
      </c>
      <c r="E5" s="8" t="s">
        <v>14</v>
      </c>
      <c r="F5" s="8" t="s">
        <v>15</v>
      </c>
      <c r="G5" s="8" t="s">
        <v>16</v>
      </c>
      <c r="H5" s="8" t="s">
        <v>17</v>
      </c>
      <c r="I5" s="4" t="s">
        <v>18</v>
      </c>
      <c r="J5" s="4" t="s">
        <v>19</v>
      </c>
      <c r="K5" s="5" t="s">
        <v>20</v>
      </c>
      <c r="L5" s="5" t="s">
        <v>21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>
      <c r="A6" s="8">
        <v>0</v>
      </c>
      <c r="B6" s="8"/>
      <c r="C6" s="8" t="s">
        <v>22</v>
      </c>
      <c r="D6" s="8" t="s">
        <v>23</v>
      </c>
      <c r="E6" s="8"/>
      <c r="F6" s="8"/>
      <c r="G6" s="8"/>
      <c r="H6" s="8"/>
      <c r="I6" s="4">
        <v>0.6</v>
      </c>
      <c r="J6" s="4">
        <f t="shared" ref="J6:J59" si="0">A6*I6</f>
        <v>0</v>
      </c>
      <c r="K6" s="5" t="s">
        <v>24</v>
      </c>
      <c r="L6" s="11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>
      <c r="A7" s="8">
        <v>0</v>
      </c>
      <c r="B7" s="8"/>
      <c r="C7" s="8" t="s">
        <v>22</v>
      </c>
      <c r="D7" s="8" t="s">
        <v>25</v>
      </c>
      <c r="E7" s="8"/>
      <c r="F7" s="8"/>
      <c r="G7" s="8"/>
      <c r="H7" s="8"/>
      <c r="I7" s="4">
        <v>0.5</v>
      </c>
      <c r="J7" s="4">
        <f t="shared" si="0"/>
        <v>0</v>
      </c>
      <c r="K7" s="5" t="s">
        <v>26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>
      <c r="A8" s="8">
        <v>0</v>
      </c>
      <c r="B8" s="8"/>
      <c r="C8" s="8" t="s">
        <v>22</v>
      </c>
      <c r="D8" s="8" t="s">
        <v>27</v>
      </c>
      <c r="E8" s="8" t="s">
        <v>28</v>
      </c>
      <c r="F8" s="8" t="s">
        <v>29</v>
      </c>
      <c r="G8" s="8" t="s">
        <v>30</v>
      </c>
      <c r="H8" s="8" t="s">
        <v>31</v>
      </c>
      <c r="I8" s="4">
        <v>5.18</v>
      </c>
      <c r="J8" s="4">
        <f t="shared" si="0"/>
        <v>0</v>
      </c>
      <c r="K8" s="5" t="s">
        <v>26</v>
      </c>
      <c r="L8" s="11" t="s">
        <v>32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>
      <c r="A9" s="8">
        <v>0</v>
      </c>
      <c r="B9" s="8"/>
      <c r="C9" s="8" t="s">
        <v>22</v>
      </c>
      <c r="D9" s="8" t="s">
        <v>33</v>
      </c>
      <c r="E9" s="8" t="s">
        <v>34</v>
      </c>
      <c r="F9" s="8"/>
      <c r="G9" s="8"/>
      <c r="H9" s="8"/>
      <c r="I9" s="4">
        <v>0.5</v>
      </c>
      <c r="J9" s="4">
        <f t="shared" si="0"/>
        <v>0</v>
      </c>
      <c r="K9" s="5" t="s">
        <v>35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>
      <c r="A10" s="8">
        <v>2</v>
      </c>
      <c r="B10" s="8" t="s">
        <v>36</v>
      </c>
      <c r="C10" s="8" t="s">
        <v>37</v>
      </c>
      <c r="D10" s="8" t="s">
        <v>38</v>
      </c>
      <c r="E10" s="8"/>
      <c r="F10" s="8"/>
      <c r="G10" s="8" t="s">
        <v>39</v>
      </c>
      <c r="H10" s="8">
        <v>81509</v>
      </c>
      <c r="I10" s="4">
        <v>0.35</v>
      </c>
      <c r="J10" s="4">
        <f t="shared" si="0"/>
        <v>0.7</v>
      </c>
      <c r="K10" s="5" t="s">
        <v>35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>
      <c r="A11" s="8">
        <v>0</v>
      </c>
      <c r="B11" s="8"/>
      <c r="C11" s="8" t="s">
        <v>37</v>
      </c>
      <c r="D11" s="8" t="s">
        <v>40</v>
      </c>
      <c r="E11" s="8" t="s">
        <v>41</v>
      </c>
      <c r="F11" s="8" t="s">
        <v>42</v>
      </c>
      <c r="G11" s="8" t="s">
        <v>43</v>
      </c>
      <c r="H11" s="8" t="s">
        <v>44</v>
      </c>
      <c r="I11" s="4">
        <v>0.4</v>
      </c>
      <c r="J11" s="4">
        <f t="shared" si="0"/>
        <v>0</v>
      </c>
      <c r="K11" s="5" t="s">
        <v>35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>
      <c r="A12" s="8">
        <v>4</v>
      </c>
      <c r="B12" s="8" t="s">
        <v>45</v>
      </c>
      <c r="C12" s="8" t="s">
        <v>37</v>
      </c>
      <c r="D12" s="8" t="s">
        <v>46</v>
      </c>
      <c r="E12" s="8"/>
      <c r="F12" s="8"/>
      <c r="G12" s="8" t="s">
        <v>43</v>
      </c>
      <c r="H12" s="8" t="s">
        <v>47</v>
      </c>
      <c r="I12" s="4">
        <v>4.4999999999999998E-2</v>
      </c>
      <c r="J12" s="4">
        <f t="shared" si="0"/>
        <v>0.18</v>
      </c>
      <c r="K12" s="5" t="s">
        <v>35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>
      <c r="A13" s="8">
        <v>0</v>
      </c>
      <c r="B13" s="8"/>
      <c r="C13" s="8" t="s">
        <v>37</v>
      </c>
      <c r="D13" s="8" t="s">
        <v>48</v>
      </c>
      <c r="E13" s="8"/>
      <c r="F13" s="8"/>
      <c r="G13" s="8" t="s">
        <v>43</v>
      </c>
      <c r="H13" s="8" t="s">
        <v>49</v>
      </c>
      <c r="I13" s="4">
        <v>0.4</v>
      </c>
      <c r="J13" s="4">
        <f t="shared" si="0"/>
        <v>0</v>
      </c>
      <c r="K13" s="5" t="s">
        <v>35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>
      <c r="A14" s="8">
        <v>0</v>
      </c>
      <c r="B14" s="8"/>
      <c r="C14" s="8" t="s">
        <v>37</v>
      </c>
      <c r="D14" s="8" t="s">
        <v>50</v>
      </c>
      <c r="E14" s="8"/>
      <c r="F14" s="8"/>
      <c r="G14" s="8"/>
      <c r="H14" s="8"/>
      <c r="I14" s="4">
        <v>0.4</v>
      </c>
      <c r="J14" s="4">
        <f t="shared" si="0"/>
        <v>0</v>
      </c>
      <c r="K14" s="5" t="s">
        <v>35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8">
        <v>2</v>
      </c>
      <c r="B15" s="8" t="s">
        <v>51</v>
      </c>
      <c r="C15" s="8" t="s">
        <v>37</v>
      </c>
      <c r="D15" s="8" t="s">
        <v>52</v>
      </c>
      <c r="E15" s="8"/>
      <c r="F15" s="8"/>
      <c r="G15" s="8" t="s">
        <v>43</v>
      </c>
      <c r="H15" s="8" t="s">
        <v>53</v>
      </c>
      <c r="I15" s="4">
        <v>0.4</v>
      </c>
      <c r="J15" s="4">
        <f t="shared" si="0"/>
        <v>0.8</v>
      </c>
      <c r="K15" s="5" t="s">
        <v>35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>
      <c r="A16" s="8">
        <v>0</v>
      </c>
      <c r="B16" s="8"/>
      <c r="C16" s="8" t="s">
        <v>37</v>
      </c>
      <c r="D16" s="8" t="s">
        <v>54</v>
      </c>
      <c r="E16" s="8"/>
      <c r="F16" s="8"/>
      <c r="G16" s="8" t="s">
        <v>43</v>
      </c>
      <c r="H16" s="8" t="s">
        <v>55</v>
      </c>
      <c r="I16" s="4">
        <v>0.4</v>
      </c>
      <c r="J16" s="4">
        <f t="shared" si="0"/>
        <v>0</v>
      </c>
      <c r="K16" s="5" t="s">
        <v>35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>
      <c r="A17" s="8">
        <v>0</v>
      </c>
      <c r="B17" s="8"/>
      <c r="C17" s="8" t="s">
        <v>37</v>
      </c>
      <c r="D17" s="8" t="s">
        <v>56</v>
      </c>
      <c r="E17" s="8"/>
      <c r="F17" s="8"/>
      <c r="G17" s="8"/>
      <c r="H17" s="8"/>
      <c r="I17" s="4">
        <v>0.4</v>
      </c>
      <c r="J17" s="4">
        <f t="shared" si="0"/>
        <v>0</v>
      </c>
      <c r="K17" s="5" t="s">
        <v>35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>
      <c r="A18" s="8">
        <v>0</v>
      </c>
      <c r="B18" s="8"/>
      <c r="C18" s="8" t="s">
        <v>37</v>
      </c>
      <c r="D18" s="8" t="s">
        <v>57</v>
      </c>
      <c r="E18" s="8"/>
      <c r="F18" s="8"/>
      <c r="G18" s="8"/>
      <c r="H18" s="8"/>
      <c r="I18" s="4">
        <v>0.4</v>
      </c>
      <c r="J18" s="4">
        <f t="shared" si="0"/>
        <v>0</v>
      </c>
      <c r="K18" s="5" t="s">
        <v>35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8">
        <v>0</v>
      </c>
      <c r="B19" s="8"/>
      <c r="C19" s="8" t="s">
        <v>37</v>
      </c>
      <c r="D19" s="8" t="s">
        <v>58</v>
      </c>
      <c r="E19" s="8"/>
      <c r="F19" s="8"/>
      <c r="G19" s="8"/>
      <c r="H19" s="8"/>
      <c r="I19" s="4">
        <v>3.2000000000000001E-2</v>
      </c>
      <c r="J19" s="4">
        <f t="shared" si="0"/>
        <v>0</v>
      </c>
      <c r="K19" s="5" t="s">
        <v>35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>
      <c r="A20" s="8">
        <v>0</v>
      </c>
      <c r="B20" s="8"/>
      <c r="C20" s="8" t="s">
        <v>37</v>
      </c>
      <c r="D20" s="8" t="s">
        <v>59</v>
      </c>
      <c r="E20" s="8"/>
      <c r="F20" s="8"/>
      <c r="G20" s="8"/>
      <c r="H20" s="8"/>
      <c r="I20" s="4">
        <v>3.2000000000000001E-2</v>
      </c>
      <c r="J20" s="4">
        <f t="shared" si="0"/>
        <v>0</v>
      </c>
      <c r="K20" s="5" t="s">
        <v>35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8">
        <v>0</v>
      </c>
      <c r="B21" s="8"/>
      <c r="C21" s="8" t="s">
        <v>37</v>
      </c>
      <c r="D21" s="8" t="s">
        <v>60</v>
      </c>
      <c r="E21" s="8"/>
      <c r="F21" s="8"/>
      <c r="G21" s="8"/>
      <c r="H21" s="8"/>
      <c r="I21" s="4">
        <v>3.2000000000000001E-2</v>
      </c>
      <c r="J21" s="4">
        <f t="shared" si="0"/>
        <v>0</v>
      </c>
      <c r="K21" s="5" t="s">
        <v>35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8">
        <v>0</v>
      </c>
      <c r="B22" s="8"/>
      <c r="C22" s="8" t="s">
        <v>37</v>
      </c>
      <c r="D22" s="8" t="s">
        <v>61</v>
      </c>
      <c r="E22" s="8"/>
      <c r="F22" s="8"/>
      <c r="G22" s="8"/>
      <c r="H22" s="8"/>
      <c r="I22" s="4">
        <v>3.2000000000000001E-2</v>
      </c>
      <c r="J22" s="4">
        <f t="shared" si="0"/>
        <v>0</v>
      </c>
      <c r="K22" s="5" t="s">
        <v>35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8">
        <v>0</v>
      </c>
      <c r="B23" s="8"/>
      <c r="C23" s="8" t="s">
        <v>37</v>
      </c>
      <c r="D23" s="8" t="s">
        <v>62</v>
      </c>
      <c r="E23" s="8"/>
      <c r="F23" s="8"/>
      <c r="G23" s="8" t="s">
        <v>39</v>
      </c>
      <c r="H23" s="8">
        <v>15405</v>
      </c>
      <c r="I23" s="4">
        <v>3.2000000000000001E-2</v>
      </c>
      <c r="J23" s="4">
        <f t="shared" si="0"/>
        <v>0</v>
      </c>
      <c r="K23" s="5" t="s">
        <v>35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8">
        <v>2</v>
      </c>
      <c r="B24" s="8" t="s">
        <v>63</v>
      </c>
      <c r="C24" s="8" t="s">
        <v>37</v>
      </c>
      <c r="D24" s="8" t="s">
        <v>64</v>
      </c>
      <c r="E24" s="8" t="s">
        <v>65</v>
      </c>
      <c r="F24" s="8" t="s">
        <v>66</v>
      </c>
      <c r="G24" s="8" t="s">
        <v>43</v>
      </c>
      <c r="H24" s="8" t="s">
        <v>67</v>
      </c>
      <c r="I24" s="4">
        <v>0.31</v>
      </c>
      <c r="J24" s="4">
        <f t="shared" si="0"/>
        <v>0.62</v>
      </c>
      <c r="K24" s="5" t="s">
        <v>35</v>
      </c>
      <c r="L24" s="5" t="s">
        <v>68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8">
        <v>1</v>
      </c>
      <c r="B25" s="8" t="s">
        <v>69</v>
      </c>
      <c r="C25" s="8" t="s">
        <v>70</v>
      </c>
      <c r="D25" s="8" t="s">
        <v>71</v>
      </c>
      <c r="E25" s="8" t="s">
        <v>72</v>
      </c>
      <c r="F25" s="8" t="s">
        <v>73</v>
      </c>
      <c r="G25" s="8" t="s">
        <v>43</v>
      </c>
      <c r="H25" s="8" t="s">
        <v>74</v>
      </c>
      <c r="I25" s="4">
        <v>0.28999999999999998</v>
      </c>
      <c r="J25" s="4">
        <f t="shared" si="0"/>
        <v>0.28999999999999998</v>
      </c>
      <c r="K25" s="5" t="s">
        <v>35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8">
        <v>5</v>
      </c>
      <c r="B26" s="8" t="s">
        <v>75</v>
      </c>
      <c r="C26" s="8" t="s">
        <v>70</v>
      </c>
      <c r="D26" s="8" t="s">
        <v>76</v>
      </c>
      <c r="E26" s="8"/>
      <c r="F26" s="8"/>
      <c r="G26" s="8" t="s">
        <v>43</v>
      </c>
      <c r="H26" s="8" t="s">
        <v>77</v>
      </c>
      <c r="I26" s="4">
        <v>0.22</v>
      </c>
      <c r="J26" s="4">
        <f t="shared" si="0"/>
        <v>1.1000000000000001</v>
      </c>
      <c r="K26" s="5" t="s">
        <v>35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8">
        <v>0</v>
      </c>
      <c r="B27" s="8"/>
      <c r="C27" s="8" t="s">
        <v>70</v>
      </c>
      <c r="D27" s="8" t="s">
        <v>78</v>
      </c>
      <c r="E27" s="8"/>
      <c r="F27" s="8"/>
      <c r="G27" s="8" t="s">
        <v>43</v>
      </c>
      <c r="H27" s="8" t="s">
        <v>79</v>
      </c>
      <c r="I27" s="4">
        <v>0.31680000000000003</v>
      </c>
      <c r="J27" s="4">
        <f t="shared" si="0"/>
        <v>0</v>
      </c>
      <c r="K27" s="5" t="s">
        <v>35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8">
        <v>0</v>
      </c>
      <c r="B28" s="8"/>
      <c r="C28" s="8" t="s">
        <v>70</v>
      </c>
      <c r="D28" s="8" t="s">
        <v>80</v>
      </c>
      <c r="E28" s="8"/>
      <c r="F28" s="8"/>
      <c r="G28" s="8" t="s">
        <v>43</v>
      </c>
      <c r="H28" s="8" t="s">
        <v>81</v>
      </c>
      <c r="I28" s="4">
        <v>0.5625</v>
      </c>
      <c r="J28" s="4">
        <f t="shared" si="0"/>
        <v>0</v>
      </c>
      <c r="K28" s="5" t="s">
        <v>35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8">
        <v>0</v>
      </c>
      <c r="B29" s="8"/>
      <c r="C29" s="8" t="s">
        <v>70</v>
      </c>
      <c r="D29" s="8" t="s">
        <v>82</v>
      </c>
      <c r="E29" s="8"/>
      <c r="F29" s="8"/>
      <c r="G29" s="8" t="s">
        <v>39</v>
      </c>
      <c r="H29" s="8">
        <v>33531</v>
      </c>
      <c r="I29" s="4">
        <v>0.19</v>
      </c>
      <c r="J29" s="4">
        <f t="shared" si="0"/>
        <v>0</v>
      </c>
      <c r="K29" s="5" t="s">
        <v>35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8">
        <v>0</v>
      </c>
      <c r="B30" s="8"/>
      <c r="C30" s="8" t="s">
        <v>83</v>
      </c>
      <c r="D30" s="8" t="s">
        <v>84</v>
      </c>
      <c r="E30" s="8"/>
      <c r="F30" s="8"/>
      <c r="G30" s="8" t="s">
        <v>30</v>
      </c>
      <c r="H30" s="8" t="s">
        <v>85</v>
      </c>
      <c r="I30" s="4">
        <v>0.38</v>
      </c>
      <c r="J30" s="4">
        <f t="shared" si="0"/>
        <v>0</v>
      </c>
      <c r="K30" s="5" t="s">
        <v>35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8">
        <v>0</v>
      </c>
      <c r="B31" s="8"/>
      <c r="C31" s="8" t="s">
        <v>86</v>
      </c>
      <c r="D31" s="8" t="s">
        <v>87</v>
      </c>
      <c r="E31" s="8"/>
      <c r="F31" s="8"/>
      <c r="G31" s="8" t="s">
        <v>88</v>
      </c>
      <c r="H31" s="8" t="s">
        <v>89</v>
      </c>
      <c r="I31" s="4">
        <v>0.02</v>
      </c>
      <c r="J31" s="4">
        <f t="shared" si="0"/>
        <v>0</v>
      </c>
      <c r="K31" s="5" t="s">
        <v>35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8">
        <v>1</v>
      </c>
      <c r="B32" s="8"/>
      <c r="C32" s="8" t="s">
        <v>86</v>
      </c>
      <c r="D32" s="8" t="s">
        <v>90</v>
      </c>
      <c r="E32" s="8"/>
      <c r="F32" s="8"/>
      <c r="G32" s="8" t="s">
        <v>88</v>
      </c>
      <c r="H32" s="8" t="s">
        <v>91</v>
      </c>
      <c r="I32" s="4">
        <v>0.1</v>
      </c>
      <c r="J32" s="4">
        <f t="shared" si="0"/>
        <v>0.1</v>
      </c>
      <c r="K32" s="5" t="s">
        <v>35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8">
        <v>0</v>
      </c>
      <c r="B33" s="8"/>
      <c r="C33" s="8" t="s">
        <v>86</v>
      </c>
      <c r="D33" s="8" t="s">
        <v>92</v>
      </c>
      <c r="E33" s="8"/>
      <c r="F33" s="8"/>
      <c r="G33" s="8" t="s">
        <v>88</v>
      </c>
      <c r="H33" s="8" t="s">
        <v>93</v>
      </c>
      <c r="I33" s="4">
        <v>0.27</v>
      </c>
      <c r="J33" s="4">
        <f t="shared" si="0"/>
        <v>0</v>
      </c>
      <c r="K33" s="5" t="s">
        <v>35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8">
        <v>1</v>
      </c>
      <c r="B34" s="8" t="s">
        <v>94</v>
      </c>
      <c r="C34" s="8" t="s">
        <v>86</v>
      </c>
      <c r="D34" s="8" t="s">
        <v>92</v>
      </c>
      <c r="E34" s="8"/>
      <c r="F34" s="8"/>
      <c r="G34" s="8" t="s">
        <v>88</v>
      </c>
      <c r="H34" s="8" t="s">
        <v>95</v>
      </c>
      <c r="I34" s="4">
        <v>0.1</v>
      </c>
      <c r="J34" s="4">
        <f t="shared" si="0"/>
        <v>0.1</v>
      </c>
      <c r="K34" s="5" t="s">
        <v>35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8">
        <v>1</v>
      </c>
      <c r="B35" s="8" t="s">
        <v>96</v>
      </c>
      <c r="C35" s="8" t="s">
        <v>86</v>
      </c>
      <c r="D35" s="8" t="s">
        <v>97</v>
      </c>
      <c r="E35" s="8" t="s">
        <v>98</v>
      </c>
      <c r="F35" s="8">
        <v>5001</v>
      </c>
      <c r="G35" s="8" t="s">
        <v>43</v>
      </c>
      <c r="H35" s="8" t="s">
        <v>99</v>
      </c>
      <c r="I35" s="4">
        <v>0.23</v>
      </c>
      <c r="J35" s="4">
        <f t="shared" si="0"/>
        <v>0.23</v>
      </c>
      <c r="K35" s="5" t="s">
        <v>35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8">
        <v>0</v>
      </c>
      <c r="B36" s="8"/>
      <c r="C36" s="8" t="s">
        <v>86</v>
      </c>
      <c r="D36" s="8" t="s">
        <v>100</v>
      </c>
      <c r="E36" s="8" t="s">
        <v>98</v>
      </c>
      <c r="F36" s="8">
        <v>5003</v>
      </c>
      <c r="G36" s="8" t="s">
        <v>43</v>
      </c>
      <c r="H36" s="8" t="s">
        <v>101</v>
      </c>
      <c r="I36" s="4">
        <v>0.23</v>
      </c>
      <c r="J36" s="4">
        <f t="shared" si="0"/>
        <v>0</v>
      </c>
      <c r="K36" s="5" t="s">
        <v>35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8">
        <v>0</v>
      </c>
      <c r="B37" s="8"/>
      <c r="C37" s="8" t="s">
        <v>86</v>
      </c>
      <c r="D37" s="8" t="s">
        <v>102</v>
      </c>
      <c r="E37" s="8" t="s">
        <v>98</v>
      </c>
      <c r="F37" s="8">
        <v>5004</v>
      </c>
      <c r="G37" s="8" t="s">
        <v>43</v>
      </c>
      <c r="H37" s="8" t="s">
        <v>103</v>
      </c>
      <c r="I37" s="4">
        <v>0.23</v>
      </c>
      <c r="J37" s="4">
        <f t="shared" si="0"/>
        <v>0</v>
      </c>
      <c r="K37" s="5" t="s">
        <v>35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8">
        <v>1</v>
      </c>
      <c r="B38" s="8" t="s">
        <v>104</v>
      </c>
      <c r="C38" s="8" t="s">
        <v>86</v>
      </c>
      <c r="D38" s="8" t="s">
        <v>105</v>
      </c>
      <c r="E38" s="8" t="s">
        <v>98</v>
      </c>
      <c r="F38" s="8">
        <v>5002</v>
      </c>
      <c r="G38" s="8" t="s">
        <v>43</v>
      </c>
      <c r="H38" s="8" t="s">
        <v>106</v>
      </c>
      <c r="I38" s="4">
        <v>0.23</v>
      </c>
      <c r="J38" s="4">
        <f t="shared" si="0"/>
        <v>0.23</v>
      </c>
      <c r="K38" s="5" t="s">
        <v>35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8">
        <v>0</v>
      </c>
      <c r="B39" s="8"/>
      <c r="C39" s="8" t="s">
        <v>86</v>
      </c>
      <c r="D39" s="8" t="s">
        <v>107</v>
      </c>
      <c r="E39" s="8" t="s">
        <v>98</v>
      </c>
      <c r="F39" s="8">
        <v>5117</v>
      </c>
      <c r="G39" s="8" t="s">
        <v>43</v>
      </c>
      <c r="H39" s="8" t="s">
        <v>108</v>
      </c>
      <c r="I39" s="4">
        <v>0.23</v>
      </c>
      <c r="J39" s="4">
        <f t="shared" si="0"/>
        <v>0</v>
      </c>
      <c r="K39" s="5" t="s">
        <v>35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8">
        <v>0</v>
      </c>
      <c r="B40" s="8"/>
      <c r="C40" s="8" t="s">
        <v>86</v>
      </c>
      <c r="D40" s="8" t="s">
        <v>109</v>
      </c>
      <c r="E40" s="8" t="s">
        <v>98</v>
      </c>
      <c r="F40" s="8">
        <v>5116</v>
      </c>
      <c r="G40" s="8" t="s">
        <v>43</v>
      </c>
      <c r="H40" s="8" t="s">
        <v>110</v>
      </c>
      <c r="I40" s="4">
        <v>0.23</v>
      </c>
      <c r="J40" s="4">
        <f t="shared" si="0"/>
        <v>0</v>
      </c>
      <c r="K40" s="5" t="s">
        <v>35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8">
        <v>2</v>
      </c>
      <c r="B41" s="8" t="s">
        <v>111</v>
      </c>
      <c r="C41" s="8" t="s">
        <v>86</v>
      </c>
      <c r="D41" s="8" t="s">
        <v>112</v>
      </c>
      <c r="E41" s="8" t="s">
        <v>98</v>
      </c>
      <c r="F41" s="8">
        <v>5000</v>
      </c>
      <c r="G41" s="8" t="s">
        <v>43</v>
      </c>
      <c r="H41" s="8" t="s">
        <v>113</v>
      </c>
      <c r="I41" s="4">
        <v>0.23</v>
      </c>
      <c r="J41" s="4">
        <f t="shared" si="0"/>
        <v>0.46</v>
      </c>
      <c r="K41" s="5" t="s">
        <v>35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8">
        <v>1</v>
      </c>
      <c r="B42" s="8"/>
      <c r="C42" s="8" t="s">
        <v>86</v>
      </c>
      <c r="D42" s="8" t="s">
        <v>114</v>
      </c>
      <c r="E42" s="8" t="s">
        <v>115</v>
      </c>
      <c r="F42" s="8" t="s">
        <v>116</v>
      </c>
      <c r="G42" s="8" t="s">
        <v>115</v>
      </c>
      <c r="H42" s="8"/>
      <c r="I42" s="4"/>
      <c r="J42" s="4">
        <f t="shared" si="0"/>
        <v>0</v>
      </c>
      <c r="K42" s="5" t="s">
        <v>35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8">
        <v>0</v>
      </c>
      <c r="B43" s="8"/>
      <c r="C43" s="8" t="s">
        <v>86</v>
      </c>
      <c r="D43" s="8" t="s">
        <v>117</v>
      </c>
      <c r="E43" s="8" t="s">
        <v>115</v>
      </c>
      <c r="F43" s="8" t="s">
        <v>118</v>
      </c>
      <c r="G43" s="8" t="s">
        <v>115</v>
      </c>
      <c r="H43" s="8"/>
      <c r="I43" s="4"/>
      <c r="J43" s="4">
        <f t="shared" si="0"/>
        <v>0</v>
      </c>
      <c r="K43" s="5" t="s">
        <v>35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8">
        <v>0</v>
      </c>
      <c r="B44" s="8"/>
      <c r="C44" s="8" t="s">
        <v>86</v>
      </c>
      <c r="D44" s="8" t="s">
        <v>119</v>
      </c>
      <c r="E44" s="8" t="s">
        <v>115</v>
      </c>
      <c r="F44" s="8" t="s">
        <v>120</v>
      </c>
      <c r="G44" s="8" t="s">
        <v>115</v>
      </c>
      <c r="H44" s="8"/>
      <c r="I44" s="4"/>
      <c r="J44" s="4">
        <f t="shared" si="0"/>
        <v>0</v>
      </c>
      <c r="K44" s="5" t="s">
        <v>35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8">
        <v>0</v>
      </c>
      <c r="B45" s="8"/>
      <c r="C45" s="8" t="s">
        <v>86</v>
      </c>
      <c r="D45" s="8" t="s">
        <v>121</v>
      </c>
      <c r="E45" s="8" t="s">
        <v>115</v>
      </c>
      <c r="F45" s="8" t="s">
        <v>122</v>
      </c>
      <c r="G45" s="8" t="s">
        <v>115</v>
      </c>
      <c r="H45" s="8"/>
      <c r="I45" s="4"/>
      <c r="J45" s="4">
        <f t="shared" si="0"/>
        <v>0</v>
      </c>
      <c r="K45" s="5" t="s">
        <v>35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8">
        <v>0</v>
      </c>
      <c r="B46" s="8"/>
      <c r="C46" s="8" t="s">
        <v>86</v>
      </c>
      <c r="D46" s="8" t="s">
        <v>123</v>
      </c>
      <c r="E46" s="8" t="s">
        <v>124</v>
      </c>
      <c r="F46" s="8">
        <v>473340001</v>
      </c>
      <c r="G46" s="8" t="s">
        <v>43</v>
      </c>
      <c r="H46" s="5" t="s">
        <v>125</v>
      </c>
      <c r="I46" s="4">
        <v>4.0199999999999996</v>
      </c>
      <c r="J46" s="4">
        <f t="shared" si="0"/>
        <v>0</v>
      </c>
      <c r="K46" s="5" t="s">
        <v>24</v>
      </c>
      <c r="L46" s="5" t="s">
        <v>126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8">
        <v>1</v>
      </c>
      <c r="B47" s="8"/>
      <c r="C47" s="8" t="s">
        <v>86</v>
      </c>
      <c r="D47" s="8" t="s">
        <v>127</v>
      </c>
      <c r="E47" s="8" t="s">
        <v>124</v>
      </c>
      <c r="F47" s="8" t="s">
        <v>128</v>
      </c>
      <c r="G47" s="8" t="s">
        <v>30</v>
      </c>
      <c r="H47" s="8" t="s">
        <v>129</v>
      </c>
      <c r="I47" s="4">
        <v>2.46</v>
      </c>
      <c r="J47" s="4">
        <f t="shared" si="0"/>
        <v>2.46</v>
      </c>
      <c r="K47" s="5" t="s">
        <v>35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8">
        <v>0</v>
      </c>
      <c r="B48" s="8"/>
      <c r="C48" s="8" t="s">
        <v>86</v>
      </c>
      <c r="D48" s="8" t="s">
        <v>130</v>
      </c>
      <c r="E48" s="8" t="s">
        <v>131</v>
      </c>
      <c r="F48" s="8" t="s">
        <v>132</v>
      </c>
      <c r="G48" s="8" t="s">
        <v>30</v>
      </c>
      <c r="H48" s="8" t="s">
        <v>133</v>
      </c>
      <c r="I48" s="4">
        <v>0.47</v>
      </c>
      <c r="J48" s="4">
        <f t="shared" si="0"/>
        <v>0</v>
      </c>
      <c r="K48" s="5" t="s">
        <v>35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8">
        <v>0</v>
      </c>
      <c r="B49" s="8"/>
      <c r="C49" s="8" t="s">
        <v>86</v>
      </c>
      <c r="D49" s="8" t="s">
        <v>134</v>
      </c>
      <c r="E49" s="8" t="s">
        <v>124</v>
      </c>
      <c r="F49" s="8" t="s">
        <v>135</v>
      </c>
      <c r="G49" s="8" t="s">
        <v>43</v>
      </c>
      <c r="H49" s="8" t="s">
        <v>136</v>
      </c>
      <c r="I49" s="4">
        <v>0.65</v>
      </c>
      <c r="J49" s="4">
        <f t="shared" si="0"/>
        <v>0</v>
      </c>
      <c r="K49" s="5" t="s">
        <v>35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8">
        <v>0</v>
      </c>
      <c r="B50" s="8"/>
      <c r="C50" s="8" t="s">
        <v>86</v>
      </c>
      <c r="D50" s="8" t="s">
        <v>137</v>
      </c>
      <c r="E50" s="8" t="s">
        <v>138</v>
      </c>
      <c r="F50" s="8" t="s">
        <v>139</v>
      </c>
      <c r="G50" s="8" t="s">
        <v>43</v>
      </c>
      <c r="H50" s="8" t="s">
        <v>140</v>
      </c>
      <c r="I50" s="4">
        <v>0.26</v>
      </c>
      <c r="J50" s="4">
        <f t="shared" si="0"/>
        <v>0</v>
      </c>
      <c r="K50" s="5" t="s">
        <v>35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8">
        <v>1</v>
      </c>
      <c r="B51" s="8" t="s">
        <v>141</v>
      </c>
      <c r="C51" s="8" t="s">
        <v>86</v>
      </c>
      <c r="D51" s="8" t="s">
        <v>142</v>
      </c>
      <c r="E51" s="8" t="s">
        <v>138</v>
      </c>
      <c r="F51" s="8" t="s">
        <v>139</v>
      </c>
      <c r="G51" s="8" t="s">
        <v>43</v>
      </c>
      <c r="H51" s="8" t="s">
        <v>143</v>
      </c>
      <c r="I51" s="4">
        <v>0.27</v>
      </c>
      <c r="J51" s="4">
        <f t="shared" si="0"/>
        <v>0.27</v>
      </c>
      <c r="K51" s="5" t="s">
        <v>35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8">
        <v>1</v>
      </c>
      <c r="B52" s="8" t="s">
        <v>144</v>
      </c>
      <c r="C52" s="8" t="s">
        <v>86</v>
      </c>
      <c r="D52" s="8" t="s">
        <v>145</v>
      </c>
      <c r="E52" s="8"/>
      <c r="F52" s="8"/>
      <c r="G52" s="8"/>
      <c r="H52" s="8"/>
      <c r="I52" s="4">
        <v>0.28999999999999998</v>
      </c>
      <c r="J52" s="4">
        <f t="shared" si="0"/>
        <v>0.28999999999999998</v>
      </c>
      <c r="K52" s="5" t="s">
        <v>35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8">
        <v>0</v>
      </c>
      <c r="B53" s="8"/>
      <c r="C53" s="8" t="s">
        <v>86</v>
      </c>
      <c r="D53" s="8" t="s">
        <v>146</v>
      </c>
      <c r="E53" s="8" t="s">
        <v>115</v>
      </c>
      <c r="F53" s="8" t="s">
        <v>147</v>
      </c>
      <c r="G53" s="8" t="s">
        <v>115</v>
      </c>
      <c r="H53" s="8"/>
      <c r="I53" s="4">
        <v>1</v>
      </c>
      <c r="J53" s="4">
        <f t="shared" si="0"/>
        <v>0</v>
      </c>
      <c r="K53" s="5" t="s">
        <v>35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8">
        <v>0</v>
      </c>
      <c r="B54" s="8"/>
      <c r="C54" s="8" t="s">
        <v>86</v>
      </c>
      <c r="D54" s="8" t="s">
        <v>148</v>
      </c>
      <c r="E54" s="8"/>
      <c r="F54" s="8"/>
      <c r="G54" s="8" t="s">
        <v>39</v>
      </c>
      <c r="H54" s="8">
        <v>15771</v>
      </c>
      <c r="I54" s="4">
        <v>0.65</v>
      </c>
      <c r="J54" s="4">
        <f t="shared" si="0"/>
        <v>0</v>
      </c>
      <c r="K54" s="5" t="s">
        <v>35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8">
        <v>2</v>
      </c>
      <c r="B55" s="8" t="s">
        <v>149</v>
      </c>
      <c r="C55" s="8" t="s">
        <v>150</v>
      </c>
      <c r="D55" s="8" t="s">
        <v>151</v>
      </c>
      <c r="E55" s="8" t="s">
        <v>152</v>
      </c>
      <c r="F55" s="8" t="s">
        <v>153</v>
      </c>
      <c r="G55" s="8" t="s">
        <v>30</v>
      </c>
      <c r="H55" s="8" t="s">
        <v>154</v>
      </c>
      <c r="I55" s="4">
        <v>11.55</v>
      </c>
      <c r="J55" s="4">
        <f t="shared" si="0"/>
        <v>23.1</v>
      </c>
      <c r="K55" s="5" t="s">
        <v>68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8">
        <v>1</v>
      </c>
      <c r="B56" s="8" t="s">
        <v>155</v>
      </c>
      <c r="C56" s="8" t="s">
        <v>156</v>
      </c>
      <c r="D56" s="8" t="s">
        <v>157</v>
      </c>
      <c r="E56" s="8" t="s">
        <v>158</v>
      </c>
      <c r="F56" s="8" t="s">
        <v>157</v>
      </c>
      <c r="G56" s="8" t="s">
        <v>43</v>
      </c>
      <c r="H56" s="8" t="s">
        <v>159</v>
      </c>
      <c r="I56" s="4">
        <v>0.51</v>
      </c>
      <c r="J56" s="4">
        <f t="shared" si="0"/>
        <v>0.51</v>
      </c>
      <c r="K56" s="5" t="s">
        <v>35</v>
      </c>
      <c r="L56" s="5" t="s">
        <v>68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8">
        <v>3</v>
      </c>
      <c r="B57" s="8" t="s">
        <v>160</v>
      </c>
      <c r="C57" s="8" t="s">
        <v>161</v>
      </c>
      <c r="D57" s="5" t="s">
        <v>162</v>
      </c>
      <c r="E57" s="8" t="s">
        <v>163</v>
      </c>
      <c r="F57" s="8" t="s">
        <v>164</v>
      </c>
      <c r="G57" s="8" t="s">
        <v>43</v>
      </c>
      <c r="H57" s="8" t="s">
        <v>165</v>
      </c>
      <c r="I57" s="4">
        <v>0.05</v>
      </c>
      <c r="J57" s="4">
        <f t="shared" si="0"/>
        <v>0.15000000000000002</v>
      </c>
      <c r="K57" s="5" t="s">
        <v>35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8">
        <v>0</v>
      </c>
      <c r="B58" s="8"/>
      <c r="C58" s="8" t="s">
        <v>166</v>
      </c>
      <c r="D58" s="8" t="s">
        <v>167</v>
      </c>
      <c r="E58" s="8" t="s">
        <v>168</v>
      </c>
      <c r="F58" s="8" t="s">
        <v>169</v>
      </c>
      <c r="G58" s="8" t="s">
        <v>170</v>
      </c>
      <c r="H58" s="8" t="s">
        <v>169</v>
      </c>
      <c r="I58" s="4">
        <v>7.5</v>
      </c>
      <c r="J58" s="4">
        <f t="shared" si="0"/>
        <v>0</v>
      </c>
      <c r="K58" s="5" t="s">
        <v>24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8">
        <v>1</v>
      </c>
      <c r="B59" s="8" t="s">
        <v>174</v>
      </c>
      <c r="C59" s="8" t="s">
        <v>166</v>
      </c>
      <c r="D59" s="8" t="s">
        <v>171</v>
      </c>
      <c r="E59" s="8" t="s">
        <v>152</v>
      </c>
      <c r="F59" s="8" t="s">
        <v>172</v>
      </c>
      <c r="G59" s="8" t="s">
        <v>43</v>
      </c>
      <c r="H59" s="8" t="s">
        <v>173</v>
      </c>
      <c r="I59" s="4">
        <v>1.17</v>
      </c>
      <c r="J59" s="4">
        <f t="shared" si="0"/>
        <v>1.17</v>
      </c>
      <c r="K59" s="5" t="s">
        <v>35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8">
        <v>0</v>
      </c>
      <c r="B60" s="8"/>
      <c r="C60" s="8" t="s">
        <v>166</v>
      </c>
      <c r="D60" s="8" t="s">
        <v>175</v>
      </c>
      <c r="E60" s="8" t="s">
        <v>152</v>
      </c>
      <c r="F60" s="8" t="s">
        <v>176</v>
      </c>
      <c r="G60" s="8" t="s">
        <v>43</v>
      </c>
      <c r="H60" s="8" t="s">
        <v>177</v>
      </c>
      <c r="I60" s="4">
        <v>0.19</v>
      </c>
      <c r="J60" s="4">
        <f>A61*I60</f>
        <v>0.19</v>
      </c>
      <c r="K60" s="5" t="s">
        <v>35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8">
        <v>1</v>
      </c>
      <c r="B61" s="8" t="s">
        <v>178</v>
      </c>
      <c r="C61" s="8" t="s">
        <v>166</v>
      </c>
      <c r="D61" s="8" t="s">
        <v>179</v>
      </c>
      <c r="E61" s="8" t="s">
        <v>180</v>
      </c>
      <c r="F61" s="8" t="s">
        <v>181</v>
      </c>
      <c r="G61" s="8" t="s">
        <v>39</v>
      </c>
      <c r="H61" s="8">
        <v>192233</v>
      </c>
      <c r="I61" s="4">
        <v>0.19</v>
      </c>
      <c r="J61" s="4">
        <f t="shared" ref="J61:J74" si="1">A61*I61</f>
        <v>0.19</v>
      </c>
      <c r="K61" s="5" t="s">
        <v>35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8">
        <v>0</v>
      </c>
      <c r="B62" s="8"/>
      <c r="C62" s="8" t="s">
        <v>166</v>
      </c>
      <c r="D62" s="8" t="s">
        <v>182</v>
      </c>
      <c r="E62" s="8" t="s">
        <v>152</v>
      </c>
      <c r="F62" s="8" t="s">
        <v>183</v>
      </c>
      <c r="G62" s="8" t="s">
        <v>152</v>
      </c>
      <c r="H62" s="8"/>
      <c r="I62" s="4"/>
      <c r="J62" s="4">
        <f t="shared" si="1"/>
        <v>0</v>
      </c>
      <c r="K62" s="5" t="s">
        <v>184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8">
        <v>0</v>
      </c>
      <c r="B63" s="8"/>
      <c r="C63" s="8" t="s">
        <v>166</v>
      </c>
      <c r="D63" s="8" t="s">
        <v>185</v>
      </c>
      <c r="E63" s="8" t="s">
        <v>152</v>
      </c>
      <c r="F63" s="8" t="s">
        <v>186</v>
      </c>
      <c r="G63" s="8" t="s">
        <v>152</v>
      </c>
      <c r="H63" s="8" t="s">
        <v>187</v>
      </c>
      <c r="I63" s="4"/>
      <c r="J63" s="4">
        <f t="shared" si="1"/>
        <v>0</v>
      </c>
      <c r="K63" s="5" t="s">
        <v>188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8">
        <v>0</v>
      </c>
      <c r="B64" s="8"/>
      <c r="C64" s="8" t="s">
        <v>166</v>
      </c>
      <c r="D64" s="8" t="s">
        <v>189</v>
      </c>
      <c r="E64" s="8" t="s">
        <v>152</v>
      </c>
      <c r="F64" s="8" t="s">
        <v>190</v>
      </c>
      <c r="G64" s="8" t="s">
        <v>152</v>
      </c>
      <c r="H64" s="8" t="s">
        <v>191</v>
      </c>
      <c r="I64" s="4"/>
      <c r="J64" s="4">
        <f t="shared" si="1"/>
        <v>0</v>
      </c>
      <c r="K64" s="5" t="s">
        <v>184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8">
        <v>0</v>
      </c>
      <c r="B65" s="8"/>
      <c r="C65" s="8" t="s">
        <v>166</v>
      </c>
      <c r="D65" s="8" t="s">
        <v>192</v>
      </c>
      <c r="E65" s="8" t="s">
        <v>193</v>
      </c>
      <c r="F65" s="8" t="s">
        <v>194</v>
      </c>
      <c r="G65" s="8" t="s">
        <v>195</v>
      </c>
      <c r="H65" s="5" t="s">
        <v>196</v>
      </c>
      <c r="I65" s="4"/>
      <c r="J65" s="4">
        <f t="shared" si="1"/>
        <v>0</v>
      </c>
      <c r="K65" s="5" t="s">
        <v>184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8">
        <v>0</v>
      </c>
      <c r="B66" s="8"/>
      <c r="C66" s="8" t="s">
        <v>166</v>
      </c>
      <c r="D66" s="8" t="s">
        <v>197</v>
      </c>
      <c r="E66" s="8" t="s">
        <v>193</v>
      </c>
      <c r="F66" s="8" t="s">
        <v>198</v>
      </c>
      <c r="G66" s="8" t="s">
        <v>195</v>
      </c>
      <c r="H66" s="8" t="s">
        <v>199</v>
      </c>
      <c r="I66" s="4"/>
      <c r="J66" s="4">
        <f t="shared" si="1"/>
        <v>0</v>
      </c>
      <c r="K66" s="5" t="s">
        <v>184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8">
        <v>0</v>
      </c>
      <c r="B67" s="8"/>
      <c r="C67" s="8" t="s">
        <v>166</v>
      </c>
      <c r="D67" s="8" t="s">
        <v>200</v>
      </c>
      <c r="E67" s="8" t="s">
        <v>152</v>
      </c>
      <c r="F67" s="8" t="s">
        <v>201</v>
      </c>
      <c r="G67" s="8" t="s">
        <v>152</v>
      </c>
      <c r="H67" s="8" t="s">
        <v>201</v>
      </c>
      <c r="I67" s="4"/>
      <c r="J67" s="4">
        <f t="shared" si="1"/>
        <v>0</v>
      </c>
      <c r="K67" s="5" t="s">
        <v>188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8">
        <v>0</v>
      </c>
      <c r="B68" s="8"/>
      <c r="C68" s="8" t="s">
        <v>166</v>
      </c>
      <c r="D68" s="8" t="s">
        <v>202</v>
      </c>
      <c r="E68" s="8" t="s">
        <v>152</v>
      </c>
      <c r="F68" s="8" t="s">
        <v>203</v>
      </c>
      <c r="G68" s="8" t="s">
        <v>152</v>
      </c>
      <c r="H68" s="8" t="s">
        <v>203</v>
      </c>
      <c r="I68" s="4"/>
      <c r="J68" s="4">
        <f t="shared" si="1"/>
        <v>0</v>
      </c>
      <c r="K68" s="5" t="s">
        <v>188</v>
      </c>
      <c r="L68" s="5"/>
      <c r="M68" s="5"/>
      <c r="N68" s="5"/>
      <c r="O68" s="5"/>
      <c r="P68" s="5"/>
      <c r="Q68" s="5"/>
      <c r="R68" s="5" t="s">
        <v>204</v>
      </c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8">
        <v>0</v>
      </c>
      <c r="B69" s="8"/>
      <c r="C69" s="8" t="s">
        <v>166</v>
      </c>
      <c r="D69" s="8" t="s">
        <v>205</v>
      </c>
      <c r="E69" s="8" t="s">
        <v>152</v>
      </c>
      <c r="F69" s="8" t="s">
        <v>206</v>
      </c>
      <c r="G69" s="8" t="s">
        <v>152</v>
      </c>
      <c r="H69" s="8" t="s">
        <v>206</v>
      </c>
      <c r="I69" s="4">
        <v>1.17</v>
      </c>
      <c r="J69" s="4">
        <f t="shared" si="1"/>
        <v>0</v>
      </c>
      <c r="K69" s="5" t="s">
        <v>184</v>
      </c>
      <c r="L69" s="5"/>
      <c r="M69" s="5"/>
      <c r="N69" s="5"/>
      <c r="O69" s="5"/>
      <c r="P69" s="5"/>
      <c r="Q69" s="5"/>
      <c r="R69" s="5" t="s">
        <v>207</v>
      </c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8">
        <v>0</v>
      </c>
      <c r="B70" s="8"/>
      <c r="C70" s="8" t="s">
        <v>166</v>
      </c>
      <c r="D70" s="8" t="s">
        <v>208</v>
      </c>
      <c r="E70" s="8" t="s">
        <v>152</v>
      </c>
      <c r="F70" s="8" t="s">
        <v>209</v>
      </c>
      <c r="G70" s="8" t="s">
        <v>152</v>
      </c>
      <c r="H70" s="8" t="s">
        <v>209</v>
      </c>
      <c r="I70" s="4">
        <v>1.84</v>
      </c>
      <c r="J70" s="4">
        <f t="shared" si="1"/>
        <v>0</v>
      </c>
      <c r="K70" s="5" t="s">
        <v>188</v>
      </c>
      <c r="L70" s="5"/>
      <c r="M70" s="5"/>
      <c r="N70" s="5"/>
      <c r="O70" s="5"/>
      <c r="P70" s="5"/>
      <c r="Q70" s="5"/>
      <c r="R70" s="5" t="s">
        <v>210</v>
      </c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8">
        <v>0</v>
      </c>
      <c r="B71" s="8"/>
      <c r="C71" s="8" t="s">
        <v>166</v>
      </c>
      <c r="D71" s="8" t="s">
        <v>211</v>
      </c>
      <c r="E71" s="8" t="s">
        <v>152</v>
      </c>
      <c r="F71" s="8" t="s">
        <v>212</v>
      </c>
      <c r="G71" s="8" t="s">
        <v>152</v>
      </c>
      <c r="H71" s="8" t="s">
        <v>212</v>
      </c>
      <c r="I71" s="4">
        <v>1.84</v>
      </c>
      <c r="J71" s="4">
        <f t="shared" si="1"/>
        <v>0</v>
      </c>
      <c r="K71" s="5" t="s">
        <v>184</v>
      </c>
      <c r="L71" s="5"/>
      <c r="M71" s="5"/>
      <c r="N71" s="5"/>
      <c r="O71" s="5"/>
      <c r="P71" s="5"/>
      <c r="Q71" s="5"/>
      <c r="R71" s="5" t="s">
        <v>213</v>
      </c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8">
        <v>0</v>
      </c>
      <c r="B72" s="8"/>
      <c r="C72" s="8" t="s">
        <v>166</v>
      </c>
      <c r="D72" s="8" t="s">
        <v>214</v>
      </c>
      <c r="E72" s="8" t="s">
        <v>152</v>
      </c>
      <c r="F72" s="8" t="s">
        <v>215</v>
      </c>
      <c r="G72" s="8" t="s">
        <v>152</v>
      </c>
      <c r="H72" s="8" t="s">
        <v>215</v>
      </c>
      <c r="I72" s="4">
        <v>0.9</v>
      </c>
      <c r="J72" s="4">
        <f t="shared" si="1"/>
        <v>0</v>
      </c>
      <c r="K72" s="5" t="s">
        <v>188</v>
      </c>
      <c r="L72" s="5"/>
      <c r="M72" s="5"/>
      <c r="N72" s="5"/>
      <c r="O72" s="5"/>
      <c r="P72" s="5"/>
      <c r="Q72" s="5"/>
      <c r="R72" s="5" t="s">
        <v>216</v>
      </c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8">
        <v>0</v>
      </c>
      <c r="B73" s="8"/>
      <c r="C73" s="8" t="s">
        <v>166</v>
      </c>
      <c r="D73" s="8" t="s">
        <v>217</v>
      </c>
      <c r="E73" s="8" t="s">
        <v>168</v>
      </c>
      <c r="F73" s="8" t="s">
        <v>218</v>
      </c>
      <c r="G73" s="8" t="s">
        <v>168</v>
      </c>
      <c r="H73" s="8" t="s">
        <v>219</v>
      </c>
      <c r="I73" s="4">
        <v>4.47</v>
      </c>
      <c r="J73" s="4">
        <f t="shared" si="1"/>
        <v>0</v>
      </c>
      <c r="K73" s="5" t="s">
        <v>184</v>
      </c>
      <c r="L73" s="5"/>
      <c r="M73" s="5"/>
      <c r="N73" s="5"/>
      <c r="O73" s="5"/>
      <c r="P73" s="5"/>
      <c r="Q73" s="5"/>
      <c r="R73" s="5" t="s">
        <v>220</v>
      </c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8">
        <v>0</v>
      </c>
      <c r="B74" s="8"/>
      <c r="C74" s="8" t="s">
        <v>166</v>
      </c>
      <c r="D74" s="8" t="s">
        <v>221</v>
      </c>
      <c r="E74" s="8" t="s">
        <v>152</v>
      </c>
      <c r="F74" s="8" t="s">
        <v>222</v>
      </c>
      <c r="G74" s="8" t="s">
        <v>43</v>
      </c>
      <c r="H74" s="8" t="s">
        <v>223</v>
      </c>
      <c r="I74" s="4">
        <v>3.5</v>
      </c>
      <c r="J74" s="4">
        <f t="shared" si="1"/>
        <v>0</v>
      </c>
      <c r="K74" s="5" t="s">
        <v>224</v>
      </c>
      <c r="L74" s="5"/>
      <c r="M74" s="5"/>
      <c r="N74" s="5"/>
      <c r="O74" s="5"/>
      <c r="P74" s="5"/>
      <c r="Q74" s="5"/>
      <c r="R74" s="5" t="s">
        <v>225</v>
      </c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8">
        <v>0</v>
      </c>
      <c r="B75" s="8"/>
      <c r="C75" s="8" t="s">
        <v>166</v>
      </c>
      <c r="D75" s="8" t="s">
        <v>226</v>
      </c>
      <c r="E75" s="8" t="s">
        <v>152</v>
      </c>
      <c r="F75" s="8" t="s">
        <v>227</v>
      </c>
      <c r="G75" s="8" t="s">
        <v>152</v>
      </c>
      <c r="H75" s="8"/>
      <c r="I75" s="4"/>
      <c r="J75" s="4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8">
        <v>0</v>
      </c>
      <c r="B76" s="8"/>
      <c r="C76" s="8" t="s">
        <v>166</v>
      </c>
      <c r="D76" s="8" t="s">
        <v>228</v>
      </c>
      <c r="E76" s="8"/>
      <c r="F76" s="8"/>
      <c r="G76" s="8" t="s">
        <v>39</v>
      </c>
      <c r="H76" s="8">
        <v>46105</v>
      </c>
      <c r="I76" s="4">
        <v>0.4</v>
      </c>
      <c r="J76" s="4">
        <f t="shared" ref="J76:J157" si="2">A76*I76</f>
        <v>0</v>
      </c>
      <c r="K76" s="5" t="s">
        <v>35</v>
      </c>
      <c r="L76" s="5"/>
      <c r="M76" s="5"/>
      <c r="N76" s="5"/>
      <c r="O76" s="5"/>
      <c r="P76" s="5"/>
      <c r="Q76" s="5"/>
      <c r="R76" s="5" t="s">
        <v>229</v>
      </c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8">
        <v>0</v>
      </c>
      <c r="B77" s="8"/>
      <c r="C77" s="8" t="s">
        <v>166</v>
      </c>
      <c r="D77" s="8" t="s">
        <v>230</v>
      </c>
      <c r="E77" s="8"/>
      <c r="F77" s="8"/>
      <c r="G77" s="8" t="s">
        <v>39</v>
      </c>
      <c r="H77" s="8">
        <v>45495</v>
      </c>
      <c r="I77" s="4">
        <v>0.3</v>
      </c>
      <c r="J77" s="4">
        <f t="shared" si="2"/>
        <v>0</v>
      </c>
      <c r="K77" s="5" t="s">
        <v>35</v>
      </c>
      <c r="L77" s="5"/>
      <c r="M77" s="5"/>
      <c r="N77" s="5"/>
      <c r="O77" s="5"/>
      <c r="P77" s="5"/>
      <c r="Q77" s="5"/>
      <c r="R77" s="5" t="s">
        <v>231</v>
      </c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8">
        <v>0</v>
      </c>
      <c r="B78" s="8"/>
      <c r="C78" s="8" t="s">
        <v>166</v>
      </c>
      <c r="D78" s="8" t="s">
        <v>232</v>
      </c>
      <c r="E78" s="8" t="s">
        <v>152</v>
      </c>
      <c r="F78" s="8" t="s">
        <v>233</v>
      </c>
      <c r="G78" s="8" t="s">
        <v>30</v>
      </c>
      <c r="H78" s="8" t="s">
        <v>234</v>
      </c>
      <c r="I78" s="4">
        <v>0.53</v>
      </c>
      <c r="J78" s="4">
        <f t="shared" si="2"/>
        <v>0</v>
      </c>
      <c r="K78" s="5" t="s">
        <v>35</v>
      </c>
      <c r="L78" s="5"/>
      <c r="M78" s="5"/>
      <c r="N78" s="5"/>
      <c r="O78" s="5"/>
      <c r="P78" s="5"/>
      <c r="Q78" s="5"/>
      <c r="R78" s="5" t="s">
        <v>231</v>
      </c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8">
        <v>0</v>
      </c>
      <c r="B79" s="8"/>
      <c r="C79" s="8" t="s">
        <v>166</v>
      </c>
      <c r="D79" s="8" t="s">
        <v>235</v>
      </c>
      <c r="E79" s="8" t="s">
        <v>236</v>
      </c>
      <c r="F79" s="8" t="s">
        <v>237</v>
      </c>
      <c r="G79" s="8" t="s">
        <v>39</v>
      </c>
      <c r="H79" s="8">
        <v>2001171</v>
      </c>
      <c r="I79" s="4">
        <v>0.57999999999999996</v>
      </c>
      <c r="J79" s="4">
        <f t="shared" si="2"/>
        <v>0</v>
      </c>
      <c r="K79" s="5" t="s">
        <v>224</v>
      </c>
      <c r="L79" s="5"/>
      <c r="M79" s="5"/>
      <c r="N79" s="5"/>
      <c r="O79" s="5"/>
      <c r="P79" s="5"/>
      <c r="Q79" s="5"/>
      <c r="R79" s="5" t="s">
        <v>238</v>
      </c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8">
        <v>0</v>
      </c>
      <c r="B80" s="8"/>
      <c r="C80" s="8" t="s">
        <v>239</v>
      </c>
      <c r="D80" s="8" t="s">
        <v>240</v>
      </c>
      <c r="E80" s="8"/>
      <c r="F80" s="8"/>
      <c r="G80" s="8" t="s">
        <v>39</v>
      </c>
      <c r="H80" s="8">
        <v>101179</v>
      </c>
      <c r="I80" s="4">
        <v>0.55000000000000004</v>
      </c>
      <c r="J80" s="4">
        <f t="shared" si="2"/>
        <v>0</v>
      </c>
      <c r="K80" s="5" t="s">
        <v>35</v>
      </c>
      <c r="L80" s="5"/>
      <c r="M80" s="5"/>
      <c r="N80" s="5"/>
      <c r="O80" s="5"/>
      <c r="P80" s="5"/>
      <c r="Q80" s="5"/>
      <c r="R80" s="5" t="s">
        <v>241</v>
      </c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8">
        <v>0</v>
      </c>
      <c r="B81" s="8"/>
      <c r="C81" s="8" t="s">
        <v>239</v>
      </c>
      <c r="D81" s="8" t="s">
        <v>242</v>
      </c>
      <c r="E81" s="8"/>
      <c r="F81" s="8"/>
      <c r="G81" s="8" t="s">
        <v>88</v>
      </c>
      <c r="H81" s="8" t="s">
        <v>243</v>
      </c>
      <c r="I81" s="4">
        <v>0.09</v>
      </c>
      <c r="J81" s="4">
        <f t="shared" si="2"/>
        <v>0</v>
      </c>
      <c r="K81" s="5" t="s">
        <v>35</v>
      </c>
      <c r="L81" s="5"/>
      <c r="M81" s="5"/>
      <c r="N81" s="5"/>
      <c r="O81" s="5"/>
      <c r="P81" s="5"/>
      <c r="Q81" s="5" t="s">
        <v>244</v>
      </c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8">
        <v>0</v>
      </c>
      <c r="B82" s="8"/>
      <c r="C82" s="8" t="s">
        <v>245</v>
      </c>
      <c r="D82" s="8" t="s">
        <v>246</v>
      </c>
      <c r="E82" s="8" t="s">
        <v>247</v>
      </c>
      <c r="F82" s="8" t="s">
        <v>248</v>
      </c>
      <c r="G82" s="8" t="s">
        <v>249</v>
      </c>
      <c r="H82" s="8" t="s">
        <v>250</v>
      </c>
      <c r="I82" s="4">
        <v>2.99</v>
      </c>
      <c r="J82" s="4">
        <f t="shared" si="2"/>
        <v>0</v>
      </c>
      <c r="K82" s="5" t="s">
        <v>26</v>
      </c>
      <c r="L82" s="5" t="s">
        <v>251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8">
        <v>0</v>
      </c>
      <c r="B83" s="8"/>
      <c r="C83" s="8" t="s">
        <v>252</v>
      </c>
      <c r="D83" s="8" t="s">
        <v>253</v>
      </c>
      <c r="E83" s="8" t="s">
        <v>254</v>
      </c>
      <c r="F83" s="8">
        <v>5110</v>
      </c>
      <c r="G83" s="8" t="s">
        <v>255</v>
      </c>
      <c r="H83" s="8">
        <v>10168</v>
      </c>
      <c r="I83" s="4">
        <v>9.9499999999999993</v>
      </c>
      <c r="J83" s="4">
        <f t="shared" si="2"/>
        <v>0</v>
      </c>
      <c r="K83" s="5" t="s">
        <v>224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8">
        <v>1</v>
      </c>
      <c r="B84" s="8" t="s">
        <v>256</v>
      </c>
      <c r="C84" s="8" t="s">
        <v>252</v>
      </c>
      <c r="D84" s="8" t="s">
        <v>257</v>
      </c>
      <c r="E84" s="8" t="s">
        <v>258</v>
      </c>
      <c r="F84" s="8" t="s">
        <v>259</v>
      </c>
      <c r="G84" s="8" t="s">
        <v>260</v>
      </c>
      <c r="H84" s="8">
        <v>358</v>
      </c>
      <c r="I84" s="4">
        <v>19.96</v>
      </c>
      <c r="J84" s="4">
        <f t="shared" si="2"/>
        <v>19.96</v>
      </c>
      <c r="K84" s="5" t="s">
        <v>224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8">
        <v>1</v>
      </c>
      <c r="B85" s="8" t="s">
        <v>261</v>
      </c>
      <c r="C85" s="8" t="s">
        <v>262</v>
      </c>
      <c r="D85" s="8" t="s">
        <v>263</v>
      </c>
      <c r="E85" s="8" t="s">
        <v>264</v>
      </c>
      <c r="F85" s="8" t="s">
        <v>265</v>
      </c>
      <c r="G85" s="8" t="s">
        <v>43</v>
      </c>
      <c r="H85" s="8" t="s">
        <v>266</v>
      </c>
      <c r="I85" s="4">
        <v>0.28999999999999998</v>
      </c>
      <c r="J85" s="4">
        <f t="shared" si="2"/>
        <v>0.28999999999999998</v>
      </c>
      <c r="K85" s="5" t="s">
        <v>35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8">
        <v>1</v>
      </c>
      <c r="B86" s="8" t="s">
        <v>267</v>
      </c>
      <c r="C86" s="8" t="s">
        <v>262</v>
      </c>
      <c r="D86" s="8" t="s">
        <v>268</v>
      </c>
      <c r="E86" s="8" t="s">
        <v>264</v>
      </c>
      <c r="F86" s="8" t="s">
        <v>269</v>
      </c>
      <c r="G86" s="8" t="s">
        <v>43</v>
      </c>
      <c r="H86" s="8" t="s">
        <v>270</v>
      </c>
      <c r="I86" s="4">
        <v>0.28999999999999998</v>
      </c>
      <c r="J86" s="4">
        <f t="shared" si="2"/>
        <v>0.28999999999999998</v>
      </c>
      <c r="K86" s="5" t="s">
        <v>35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8">
        <v>0</v>
      </c>
      <c r="B87" s="8"/>
      <c r="C87" s="8" t="s">
        <v>262</v>
      </c>
      <c r="D87" s="8" t="s">
        <v>271</v>
      </c>
      <c r="E87" s="8" t="s">
        <v>264</v>
      </c>
      <c r="F87" s="8" t="s">
        <v>272</v>
      </c>
      <c r="G87" s="8" t="s">
        <v>43</v>
      </c>
      <c r="H87" s="8" t="s">
        <v>273</v>
      </c>
      <c r="I87" s="4">
        <v>0.28999999999999998</v>
      </c>
      <c r="J87" s="4">
        <f t="shared" si="2"/>
        <v>0</v>
      </c>
      <c r="K87" s="5" t="s">
        <v>35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8">
        <v>0</v>
      </c>
      <c r="B88" s="8"/>
      <c r="C88" s="8" t="s">
        <v>262</v>
      </c>
      <c r="D88" s="8" t="s">
        <v>274</v>
      </c>
      <c r="E88" s="8" t="s">
        <v>264</v>
      </c>
      <c r="F88" s="8" t="s">
        <v>275</v>
      </c>
      <c r="G88" s="8" t="s">
        <v>43</v>
      </c>
      <c r="H88" s="8" t="s">
        <v>276</v>
      </c>
      <c r="I88" s="4">
        <v>0.28999999999999998</v>
      </c>
      <c r="J88" s="4">
        <f t="shared" si="2"/>
        <v>0</v>
      </c>
      <c r="K88" s="5" t="s">
        <v>35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8">
        <v>0</v>
      </c>
      <c r="B89" s="8"/>
      <c r="C89" s="8" t="s">
        <v>262</v>
      </c>
      <c r="D89" s="8" t="s">
        <v>277</v>
      </c>
      <c r="E89" s="8"/>
      <c r="F89" s="8"/>
      <c r="G89" s="8"/>
      <c r="H89" s="8"/>
      <c r="I89" s="4">
        <v>0.99</v>
      </c>
      <c r="J89" s="4">
        <f t="shared" si="2"/>
        <v>0</v>
      </c>
      <c r="K89" s="5" t="s">
        <v>35</v>
      </c>
      <c r="L89" s="5" t="s">
        <v>278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8">
        <v>0</v>
      </c>
      <c r="B90" s="8"/>
      <c r="C90" s="8" t="s">
        <v>279</v>
      </c>
      <c r="D90" s="8" t="s">
        <v>280</v>
      </c>
      <c r="E90" s="8" t="s">
        <v>281</v>
      </c>
      <c r="F90" s="8"/>
      <c r="G90" s="8" t="s">
        <v>281</v>
      </c>
      <c r="H90" s="8"/>
      <c r="I90" s="4">
        <v>20</v>
      </c>
      <c r="J90" s="4">
        <f t="shared" si="2"/>
        <v>0</v>
      </c>
      <c r="L90" s="5" t="s">
        <v>282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8">
        <v>0</v>
      </c>
      <c r="B91" s="8"/>
      <c r="C91" s="8" t="s">
        <v>283</v>
      </c>
      <c r="D91" s="8" t="s">
        <v>284</v>
      </c>
      <c r="E91" s="8"/>
      <c r="F91" s="8"/>
      <c r="G91" s="8"/>
      <c r="H91" s="8"/>
      <c r="I91" s="4">
        <v>0.33</v>
      </c>
      <c r="J91" s="4">
        <f t="shared" si="2"/>
        <v>0</v>
      </c>
      <c r="K91" s="5" t="s">
        <v>24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8">
        <v>2</v>
      </c>
      <c r="B92" s="8"/>
      <c r="C92" s="8" t="s">
        <v>283</v>
      </c>
      <c r="D92" s="8" t="s">
        <v>285</v>
      </c>
      <c r="E92" s="8"/>
      <c r="F92" s="8"/>
      <c r="G92" s="8"/>
      <c r="H92" s="8"/>
      <c r="I92" s="4">
        <v>0.15</v>
      </c>
      <c r="J92" s="4">
        <f t="shared" si="2"/>
        <v>0.3</v>
      </c>
      <c r="K92" s="5" t="s">
        <v>35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8">
        <v>0</v>
      </c>
      <c r="B93" s="8"/>
      <c r="C93" s="8" t="s">
        <v>283</v>
      </c>
      <c r="D93" s="8" t="s">
        <v>286</v>
      </c>
      <c r="E93" s="8"/>
      <c r="F93" s="8"/>
      <c r="G93" s="8"/>
      <c r="H93" s="8"/>
      <c r="I93" s="4">
        <v>0.15</v>
      </c>
      <c r="J93" s="4">
        <f t="shared" si="2"/>
        <v>0</v>
      </c>
      <c r="K93" s="5" t="s">
        <v>35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8">
        <v>0</v>
      </c>
      <c r="B94" s="8"/>
      <c r="C94" s="8" t="s">
        <v>287</v>
      </c>
      <c r="D94" s="8" t="s">
        <v>288</v>
      </c>
      <c r="E94" s="5" t="s">
        <v>289</v>
      </c>
      <c r="F94" s="5" t="s">
        <v>290</v>
      </c>
      <c r="G94" s="8" t="s">
        <v>43</v>
      </c>
      <c r="H94" s="5" t="s">
        <v>291</v>
      </c>
      <c r="I94" s="4">
        <v>2.4E-2</v>
      </c>
      <c r="J94" s="4">
        <f t="shared" si="2"/>
        <v>0</v>
      </c>
      <c r="K94" s="5" t="s">
        <v>35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8">
        <v>0</v>
      </c>
      <c r="B95" s="8"/>
      <c r="C95" s="8" t="s">
        <v>287</v>
      </c>
      <c r="D95" s="8" t="s">
        <v>292</v>
      </c>
      <c r="E95" s="5" t="s">
        <v>289</v>
      </c>
      <c r="F95" s="5" t="s">
        <v>293</v>
      </c>
      <c r="G95" s="8" t="s">
        <v>43</v>
      </c>
      <c r="H95" s="5" t="s">
        <v>294</v>
      </c>
      <c r="I95" s="4">
        <v>2.4E-2</v>
      </c>
      <c r="J95" s="4">
        <f t="shared" si="2"/>
        <v>0</v>
      </c>
      <c r="K95" s="5" t="s">
        <v>35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8">
        <v>0</v>
      </c>
      <c r="B96" s="8"/>
      <c r="C96" s="8" t="s">
        <v>287</v>
      </c>
      <c r="D96" s="8" t="s">
        <v>295</v>
      </c>
      <c r="E96" s="5" t="s">
        <v>289</v>
      </c>
      <c r="F96" s="5" t="s">
        <v>296</v>
      </c>
      <c r="G96" s="8" t="s">
        <v>43</v>
      </c>
      <c r="H96" s="5" t="s">
        <v>297</v>
      </c>
      <c r="I96" s="4">
        <v>2.4E-2</v>
      </c>
      <c r="J96" s="4">
        <f t="shared" si="2"/>
        <v>0</v>
      </c>
      <c r="K96" s="5" t="s">
        <v>35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8">
        <v>1</v>
      </c>
      <c r="B97" s="8" t="s">
        <v>298</v>
      </c>
      <c r="C97" s="8" t="s">
        <v>287</v>
      </c>
      <c r="D97" s="8" t="s">
        <v>299</v>
      </c>
      <c r="E97" s="5" t="s">
        <v>289</v>
      </c>
      <c r="F97" s="5" t="s">
        <v>300</v>
      </c>
      <c r="G97" s="8" t="s">
        <v>43</v>
      </c>
      <c r="H97" s="5" t="s">
        <v>301</v>
      </c>
      <c r="I97" s="4">
        <v>2.4E-2</v>
      </c>
      <c r="J97" s="4">
        <f t="shared" si="2"/>
        <v>2.4E-2</v>
      </c>
      <c r="K97" s="5" t="s">
        <v>35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8">
        <v>0</v>
      </c>
      <c r="B98" s="8"/>
      <c r="C98" s="8" t="s">
        <v>287</v>
      </c>
      <c r="D98" s="8" t="s">
        <v>302</v>
      </c>
      <c r="E98" s="5" t="s">
        <v>289</v>
      </c>
      <c r="F98" s="5" t="s">
        <v>303</v>
      </c>
      <c r="G98" s="8" t="s">
        <v>43</v>
      </c>
      <c r="H98" s="5" t="s">
        <v>304</v>
      </c>
      <c r="I98" s="4">
        <v>2.4E-2</v>
      </c>
      <c r="J98" s="4">
        <f t="shared" si="2"/>
        <v>0</v>
      </c>
      <c r="K98" s="5" t="s">
        <v>35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8">
        <v>0</v>
      </c>
      <c r="B99" s="8"/>
      <c r="C99" s="8" t="s">
        <v>287</v>
      </c>
      <c r="D99" s="8" t="s">
        <v>305</v>
      </c>
      <c r="E99" s="5" t="s">
        <v>289</v>
      </c>
      <c r="F99" s="5" t="s">
        <v>306</v>
      </c>
      <c r="G99" s="8" t="s">
        <v>43</v>
      </c>
      <c r="H99" s="5" t="s">
        <v>307</v>
      </c>
      <c r="I99" s="4">
        <v>2.4E-2</v>
      </c>
      <c r="J99" s="4">
        <f t="shared" si="2"/>
        <v>0</v>
      </c>
      <c r="K99" s="5" t="s">
        <v>35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8">
        <v>0</v>
      </c>
      <c r="B100" s="8"/>
      <c r="C100" s="8" t="s">
        <v>287</v>
      </c>
      <c r="D100" s="8" t="s">
        <v>308</v>
      </c>
      <c r="E100" s="5" t="s">
        <v>289</v>
      </c>
      <c r="F100" s="5" t="s">
        <v>309</v>
      </c>
      <c r="G100" s="8" t="s">
        <v>43</v>
      </c>
      <c r="H100" s="5" t="s">
        <v>310</v>
      </c>
      <c r="I100" s="4">
        <v>2.4E-2</v>
      </c>
      <c r="J100" s="4">
        <f t="shared" si="2"/>
        <v>0</v>
      </c>
      <c r="K100" s="5" t="s">
        <v>35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8">
        <v>1</v>
      </c>
      <c r="B101" s="8" t="s">
        <v>311</v>
      </c>
      <c r="C101" s="8" t="s">
        <v>287</v>
      </c>
      <c r="D101" s="8" t="s">
        <v>312</v>
      </c>
      <c r="E101" s="5" t="s">
        <v>289</v>
      </c>
      <c r="F101" s="5" t="s">
        <v>313</v>
      </c>
      <c r="G101" s="8" t="s">
        <v>43</v>
      </c>
      <c r="H101" s="5" t="s">
        <v>314</v>
      </c>
      <c r="I101" s="4">
        <v>2.4E-2</v>
      </c>
      <c r="J101" s="4">
        <f t="shared" si="2"/>
        <v>2.4E-2</v>
      </c>
      <c r="K101" s="5" t="s">
        <v>35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8">
        <v>0</v>
      </c>
      <c r="B102" s="8"/>
      <c r="C102" s="8" t="s">
        <v>287</v>
      </c>
      <c r="D102" s="8" t="s">
        <v>315</v>
      </c>
      <c r="E102" s="5" t="s">
        <v>289</v>
      </c>
      <c r="F102" s="5" t="s">
        <v>316</v>
      </c>
      <c r="G102" s="8" t="s">
        <v>43</v>
      </c>
      <c r="H102" s="5" t="s">
        <v>317</v>
      </c>
      <c r="I102" s="4">
        <v>2.4E-2</v>
      </c>
      <c r="J102" s="4">
        <f t="shared" si="2"/>
        <v>0</v>
      </c>
      <c r="K102" s="5" t="s">
        <v>35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8">
        <v>0</v>
      </c>
      <c r="B103" s="8"/>
      <c r="C103" s="8" t="s">
        <v>287</v>
      </c>
      <c r="D103" s="8" t="s">
        <v>318</v>
      </c>
      <c r="E103" s="5" t="s">
        <v>289</v>
      </c>
      <c r="F103" s="5" t="s">
        <v>319</v>
      </c>
      <c r="G103" s="8" t="s">
        <v>43</v>
      </c>
      <c r="H103" s="5" t="s">
        <v>320</v>
      </c>
      <c r="I103" s="4">
        <v>2.4E-2</v>
      </c>
      <c r="J103" s="4">
        <f t="shared" si="2"/>
        <v>0</v>
      </c>
      <c r="K103" s="5" t="s">
        <v>35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8">
        <v>0</v>
      </c>
      <c r="B104" s="8"/>
      <c r="C104" s="8" t="s">
        <v>287</v>
      </c>
      <c r="D104" s="8" t="s">
        <v>321</v>
      </c>
      <c r="E104" s="5" t="s">
        <v>289</v>
      </c>
      <c r="F104" s="5" t="s">
        <v>322</v>
      </c>
      <c r="G104" s="8" t="s">
        <v>43</v>
      </c>
      <c r="H104" s="5" t="s">
        <v>323</v>
      </c>
      <c r="I104" s="4">
        <v>2.4E-2</v>
      </c>
      <c r="J104" s="4">
        <f t="shared" si="2"/>
        <v>0</v>
      </c>
      <c r="K104" s="5" t="s">
        <v>35</v>
      </c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8">
        <v>0</v>
      </c>
      <c r="B105" s="8"/>
      <c r="C105" s="8" t="s">
        <v>287</v>
      </c>
      <c r="D105" s="8" t="s">
        <v>324</v>
      </c>
      <c r="E105" s="5" t="s">
        <v>289</v>
      </c>
      <c r="F105" s="5" t="s">
        <v>325</v>
      </c>
      <c r="G105" s="8" t="s">
        <v>43</v>
      </c>
      <c r="H105" s="5" t="s">
        <v>326</v>
      </c>
      <c r="I105" s="4">
        <v>2.4E-2</v>
      </c>
      <c r="J105" s="4">
        <f t="shared" si="2"/>
        <v>0</v>
      </c>
      <c r="K105" s="5" t="s">
        <v>35</v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8">
        <v>0</v>
      </c>
      <c r="B106" s="8"/>
      <c r="C106" s="8" t="s">
        <v>287</v>
      </c>
      <c r="D106" s="8" t="s">
        <v>327</v>
      </c>
      <c r="E106" s="5" t="s">
        <v>289</v>
      </c>
      <c r="F106" s="5" t="s">
        <v>328</v>
      </c>
      <c r="G106" s="8" t="s">
        <v>43</v>
      </c>
      <c r="H106" s="5" t="s">
        <v>329</v>
      </c>
      <c r="I106" s="4">
        <v>2.4E-2</v>
      </c>
      <c r="J106" s="4">
        <f t="shared" si="2"/>
        <v>0</v>
      </c>
      <c r="K106" s="5" t="s">
        <v>35</v>
      </c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8">
        <v>0</v>
      </c>
      <c r="B107" s="8"/>
      <c r="C107" s="8" t="s">
        <v>287</v>
      </c>
      <c r="D107" s="8" t="s">
        <v>330</v>
      </c>
      <c r="E107" s="5" t="s">
        <v>289</v>
      </c>
      <c r="F107" s="5" t="s">
        <v>331</v>
      </c>
      <c r="G107" s="8" t="s">
        <v>43</v>
      </c>
      <c r="H107" s="5" t="s">
        <v>332</v>
      </c>
      <c r="I107" s="4">
        <v>2.4E-2</v>
      </c>
      <c r="J107" s="4">
        <f t="shared" si="2"/>
        <v>0</v>
      </c>
      <c r="K107" s="5" t="s">
        <v>35</v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8">
        <v>0</v>
      </c>
      <c r="B108" s="8"/>
      <c r="C108" s="8" t="s">
        <v>287</v>
      </c>
      <c r="D108" s="8" t="s">
        <v>333</v>
      </c>
      <c r="E108" s="5" t="s">
        <v>289</v>
      </c>
      <c r="F108" s="5" t="s">
        <v>334</v>
      </c>
      <c r="G108" s="8" t="s">
        <v>43</v>
      </c>
      <c r="H108" s="5" t="s">
        <v>335</v>
      </c>
      <c r="I108" s="4">
        <v>2.4E-2</v>
      </c>
      <c r="J108" s="4">
        <f t="shared" si="2"/>
        <v>0</v>
      </c>
      <c r="K108" s="5" t="s">
        <v>35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8">
        <v>0</v>
      </c>
      <c r="B109" s="8"/>
      <c r="C109" s="8" t="s">
        <v>287</v>
      </c>
      <c r="D109" s="8" t="s">
        <v>336</v>
      </c>
      <c r="E109" s="5" t="s">
        <v>289</v>
      </c>
      <c r="F109" s="5" t="s">
        <v>337</v>
      </c>
      <c r="G109" s="8" t="s">
        <v>43</v>
      </c>
      <c r="H109" s="5" t="s">
        <v>338</v>
      </c>
      <c r="I109" s="4">
        <v>2.4E-2</v>
      </c>
      <c r="J109" s="4">
        <f t="shared" si="2"/>
        <v>0</v>
      </c>
      <c r="K109" s="5" t="s">
        <v>35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8">
        <v>0</v>
      </c>
      <c r="B110" s="8"/>
      <c r="C110" s="8" t="s">
        <v>287</v>
      </c>
      <c r="D110" s="8" t="s">
        <v>339</v>
      </c>
      <c r="E110" s="5" t="s">
        <v>289</v>
      </c>
      <c r="F110" s="5" t="s">
        <v>340</v>
      </c>
      <c r="G110" s="8" t="s">
        <v>43</v>
      </c>
      <c r="H110" s="5" t="s">
        <v>341</v>
      </c>
      <c r="I110" s="4">
        <v>2.4E-2</v>
      </c>
      <c r="J110" s="4">
        <f t="shared" si="2"/>
        <v>0</v>
      </c>
      <c r="K110" s="5" t="s">
        <v>35</v>
      </c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8">
        <v>0</v>
      </c>
      <c r="B111" s="8"/>
      <c r="C111" s="8" t="s">
        <v>287</v>
      </c>
      <c r="D111" s="8" t="s">
        <v>342</v>
      </c>
      <c r="E111" s="5" t="s">
        <v>289</v>
      </c>
      <c r="F111" s="5" t="s">
        <v>343</v>
      </c>
      <c r="G111" s="8" t="s">
        <v>43</v>
      </c>
      <c r="H111" s="5" t="s">
        <v>344</v>
      </c>
      <c r="I111" s="4">
        <v>2.4E-2</v>
      </c>
      <c r="J111" s="4">
        <f t="shared" si="2"/>
        <v>0</v>
      </c>
      <c r="K111" s="5" t="s">
        <v>35</v>
      </c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8">
        <v>0</v>
      </c>
      <c r="B112" s="8"/>
      <c r="C112" s="8" t="s">
        <v>287</v>
      </c>
      <c r="D112" s="8" t="s">
        <v>345</v>
      </c>
      <c r="E112" s="5" t="s">
        <v>289</v>
      </c>
      <c r="F112" s="5" t="s">
        <v>346</v>
      </c>
      <c r="G112" s="8" t="s">
        <v>43</v>
      </c>
      <c r="H112" s="5" t="s">
        <v>347</v>
      </c>
      <c r="I112" s="4">
        <v>2.4E-2</v>
      </c>
      <c r="J112" s="4">
        <f t="shared" si="2"/>
        <v>0</v>
      </c>
      <c r="K112" s="5" t="s">
        <v>35</v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8">
        <v>0</v>
      </c>
      <c r="B113" s="8"/>
      <c r="C113" s="8" t="s">
        <v>287</v>
      </c>
      <c r="D113" s="8" t="s">
        <v>348</v>
      </c>
      <c r="E113" s="5" t="s">
        <v>289</v>
      </c>
      <c r="F113" s="5" t="s">
        <v>349</v>
      </c>
      <c r="G113" s="8" t="s">
        <v>43</v>
      </c>
      <c r="H113" s="5" t="s">
        <v>350</v>
      </c>
      <c r="I113" s="4">
        <v>2.4E-2</v>
      </c>
      <c r="J113" s="4">
        <f t="shared" si="2"/>
        <v>0</v>
      </c>
      <c r="K113" s="5" t="s">
        <v>35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8">
        <v>0</v>
      </c>
      <c r="B114" s="8"/>
      <c r="C114" s="8" t="s">
        <v>287</v>
      </c>
      <c r="D114" s="8" t="s">
        <v>351</v>
      </c>
      <c r="E114" s="5" t="s">
        <v>289</v>
      </c>
      <c r="F114" s="5" t="s">
        <v>352</v>
      </c>
      <c r="G114" s="8" t="s">
        <v>43</v>
      </c>
      <c r="H114" s="5" t="s">
        <v>353</v>
      </c>
      <c r="I114" s="4">
        <v>2.4E-2</v>
      </c>
      <c r="J114" s="4">
        <f t="shared" si="2"/>
        <v>0</v>
      </c>
      <c r="K114" s="5" t="s">
        <v>35</v>
      </c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8">
        <v>0</v>
      </c>
      <c r="B115" s="8"/>
      <c r="C115" s="8" t="s">
        <v>287</v>
      </c>
      <c r="D115" s="8" t="s">
        <v>354</v>
      </c>
      <c r="E115" s="5" t="s">
        <v>289</v>
      </c>
      <c r="F115" s="5" t="s">
        <v>355</v>
      </c>
      <c r="G115" s="8" t="s">
        <v>43</v>
      </c>
      <c r="H115" s="5" t="s">
        <v>356</v>
      </c>
      <c r="I115" s="4">
        <v>2.4E-2</v>
      </c>
      <c r="J115" s="4">
        <f t="shared" si="2"/>
        <v>0</v>
      </c>
      <c r="K115" s="5" t="s">
        <v>35</v>
      </c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8">
        <v>3</v>
      </c>
      <c r="B116" s="8" t="s">
        <v>357</v>
      </c>
      <c r="C116" s="8" t="s">
        <v>287</v>
      </c>
      <c r="D116" s="8" t="s">
        <v>358</v>
      </c>
      <c r="E116" s="5" t="s">
        <v>289</v>
      </c>
      <c r="F116" s="5" t="s">
        <v>359</v>
      </c>
      <c r="G116" s="8" t="s">
        <v>43</v>
      </c>
      <c r="H116" s="5" t="s">
        <v>360</v>
      </c>
      <c r="I116" s="4">
        <v>2.4E-2</v>
      </c>
      <c r="J116" s="4">
        <f t="shared" si="2"/>
        <v>7.2000000000000008E-2</v>
      </c>
      <c r="K116" s="5" t="s">
        <v>35</v>
      </c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8">
        <v>0</v>
      </c>
      <c r="B117" s="8"/>
      <c r="C117" s="8" t="s">
        <v>287</v>
      </c>
      <c r="D117" s="8" t="s">
        <v>361</v>
      </c>
      <c r="E117" s="5" t="s">
        <v>289</v>
      </c>
      <c r="F117" s="5" t="s">
        <v>362</v>
      </c>
      <c r="G117" s="8" t="s">
        <v>43</v>
      </c>
      <c r="H117" s="5" t="s">
        <v>363</v>
      </c>
      <c r="I117" s="4">
        <v>2.4E-2</v>
      </c>
      <c r="J117" s="4">
        <f t="shared" si="2"/>
        <v>0</v>
      </c>
      <c r="K117" s="5" t="s">
        <v>35</v>
      </c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8">
        <v>0</v>
      </c>
      <c r="B118" s="8"/>
      <c r="C118" s="8" t="s">
        <v>287</v>
      </c>
      <c r="D118" s="8" t="s">
        <v>364</v>
      </c>
      <c r="E118" s="5" t="s">
        <v>289</v>
      </c>
      <c r="F118" s="5" t="s">
        <v>365</v>
      </c>
      <c r="G118" s="8" t="s">
        <v>43</v>
      </c>
      <c r="H118" s="5" t="s">
        <v>366</v>
      </c>
      <c r="I118" s="4">
        <v>2.4E-2</v>
      </c>
      <c r="J118" s="4">
        <f t="shared" si="2"/>
        <v>0</v>
      </c>
      <c r="K118" s="5" t="s">
        <v>35</v>
      </c>
      <c r="L118" s="5" t="s">
        <v>367</v>
      </c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8">
        <v>0</v>
      </c>
      <c r="B119" s="8"/>
      <c r="C119" s="8" t="s">
        <v>287</v>
      </c>
      <c r="D119" s="8" t="s">
        <v>368</v>
      </c>
      <c r="E119" s="5" t="s">
        <v>289</v>
      </c>
      <c r="F119" s="5" t="s">
        <v>369</v>
      </c>
      <c r="G119" s="8" t="s">
        <v>43</v>
      </c>
      <c r="H119" s="5" t="s">
        <v>370</v>
      </c>
      <c r="I119" s="4">
        <v>2.4E-2</v>
      </c>
      <c r="J119" s="4">
        <f t="shared" si="2"/>
        <v>0</v>
      </c>
      <c r="K119" s="5" t="s">
        <v>35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8">
        <v>0</v>
      </c>
      <c r="B120" s="8"/>
      <c r="C120" s="8" t="s">
        <v>287</v>
      </c>
      <c r="D120" s="8" t="s">
        <v>371</v>
      </c>
      <c r="E120" s="5" t="s">
        <v>289</v>
      </c>
      <c r="F120" s="5" t="s">
        <v>372</v>
      </c>
      <c r="G120" s="8" t="s">
        <v>43</v>
      </c>
      <c r="H120" s="5" t="s">
        <v>373</v>
      </c>
      <c r="I120" s="4">
        <v>2.4E-2</v>
      </c>
      <c r="J120" s="4">
        <f t="shared" si="2"/>
        <v>0</v>
      </c>
      <c r="K120" s="5" t="s">
        <v>35</v>
      </c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8">
        <v>0</v>
      </c>
      <c r="B121" s="8"/>
      <c r="C121" s="8" t="s">
        <v>287</v>
      </c>
      <c r="D121" s="8" t="s">
        <v>374</v>
      </c>
      <c r="E121" s="5" t="s">
        <v>289</v>
      </c>
      <c r="F121" s="5" t="s">
        <v>375</v>
      </c>
      <c r="G121" s="8" t="s">
        <v>43</v>
      </c>
      <c r="H121" s="5" t="s">
        <v>376</v>
      </c>
      <c r="I121" s="4">
        <v>2.4E-2</v>
      </c>
      <c r="J121" s="4">
        <f t="shared" si="2"/>
        <v>0</v>
      </c>
      <c r="K121" s="5" t="s">
        <v>35</v>
      </c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8">
        <v>0</v>
      </c>
      <c r="B122" s="8"/>
      <c r="C122" s="8" t="s">
        <v>287</v>
      </c>
      <c r="D122" s="8" t="s">
        <v>377</v>
      </c>
      <c r="E122" s="5" t="s">
        <v>289</v>
      </c>
      <c r="F122" s="5" t="s">
        <v>378</v>
      </c>
      <c r="G122" s="8" t="s">
        <v>43</v>
      </c>
      <c r="H122" s="5" t="s">
        <v>379</v>
      </c>
      <c r="I122" s="4">
        <v>2.4E-2</v>
      </c>
      <c r="J122" s="4">
        <f t="shared" si="2"/>
        <v>0</v>
      </c>
      <c r="K122" s="5" t="s">
        <v>35</v>
      </c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8">
        <v>0</v>
      </c>
      <c r="B123" s="8"/>
      <c r="C123" s="8" t="s">
        <v>287</v>
      </c>
      <c r="D123" s="8" t="s">
        <v>380</v>
      </c>
      <c r="E123" s="5" t="s">
        <v>289</v>
      </c>
      <c r="F123" s="5" t="s">
        <v>381</v>
      </c>
      <c r="G123" s="8" t="s">
        <v>43</v>
      </c>
      <c r="H123" s="5" t="s">
        <v>382</v>
      </c>
      <c r="I123" s="4">
        <v>2.4E-2</v>
      </c>
      <c r="J123" s="4">
        <f t="shared" si="2"/>
        <v>0</v>
      </c>
      <c r="K123" s="5" t="s">
        <v>35</v>
      </c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8">
        <v>0</v>
      </c>
      <c r="B124" s="8"/>
      <c r="C124" s="8" t="s">
        <v>287</v>
      </c>
      <c r="D124" s="8" t="s">
        <v>383</v>
      </c>
      <c r="E124" s="5" t="s">
        <v>289</v>
      </c>
      <c r="F124" s="5" t="s">
        <v>384</v>
      </c>
      <c r="G124" s="8" t="s">
        <v>43</v>
      </c>
      <c r="H124" s="5" t="s">
        <v>385</v>
      </c>
      <c r="I124" s="4">
        <v>2.4E-2</v>
      </c>
      <c r="J124" s="4">
        <f t="shared" si="2"/>
        <v>0</v>
      </c>
      <c r="K124" s="5" t="s">
        <v>35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8">
        <v>0</v>
      </c>
      <c r="B125" s="8"/>
      <c r="C125" s="8" t="s">
        <v>287</v>
      </c>
      <c r="D125" s="8" t="s">
        <v>386</v>
      </c>
      <c r="E125" s="5" t="s">
        <v>289</v>
      </c>
      <c r="F125" s="5" t="s">
        <v>387</v>
      </c>
      <c r="G125" s="8" t="s">
        <v>43</v>
      </c>
      <c r="H125" s="5" t="s">
        <v>388</v>
      </c>
      <c r="I125" s="4">
        <v>2.4E-2</v>
      </c>
      <c r="J125" s="4">
        <f t="shared" si="2"/>
        <v>0</v>
      </c>
      <c r="K125" s="5" t="s">
        <v>35</v>
      </c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8">
        <v>0</v>
      </c>
      <c r="B126" s="8"/>
      <c r="C126" s="8" t="s">
        <v>287</v>
      </c>
      <c r="D126" s="8" t="s">
        <v>389</v>
      </c>
      <c r="E126" s="5" t="s">
        <v>289</v>
      </c>
      <c r="F126" s="5" t="s">
        <v>390</v>
      </c>
      <c r="G126" s="8" t="s">
        <v>43</v>
      </c>
      <c r="H126" s="5" t="s">
        <v>391</v>
      </c>
      <c r="I126" s="4">
        <v>2.4E-2</v>
      </c>
      <c r="J126" s="4">
        <f t="shared" si="2"/>
        <v>0</v>
      </c>
      <c r="K126" s="5" t="s">
        <v>35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8">
        <v>0</v>
      </c>
      <c r="B127" s="8"/>
      <c r="C127" s="8" t="s">
        <v>287</v>
      </c>
      <c r="D127" s="8" t="s">
        <v>392</v>
      </c>
      <c r="E127" s="5" t="s">
        <v>289</v>
      </c>
      <c r="F127" s="5" t="s">
        <v>393</v>
      </c>
      <c r="G127" s="8" t="s">
        <v>43</v>
      </c>
      <c r="H127" s="5" t="s">
        <v>394</v>
      </c>
      <c r="I127" s="4">
        <v>2.4E-2</v>
      </c>
      <c r="J127" s="4">
        <f t="shared" si="2"/>
        <v>0</v>
      </c>
      <c r="K127" s="5" t="s">
        <v>35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8">
        <v>0</v>
      </c>
      <c r="B128" s="8"/>
      <c r="C128" s="8" t="s">
        <v>287</v>
      </c>
      <c r="D128" s="8" t="s">
        <v>395</v>
      </c>
      <c r="E128" s="5" t="s">
        <v>289</v>
      </c>
      <c r="F128" s="5" t="s">
        <v>396</v>
      </c>
      <c r="G128" s="8" t="s">
        <v>43</v>
      </c>
      <c r="H128" s="5" t="s">
        <v>397</v>
      </c>
      <c r="I128" s="4">
        <v>2.4E-2</v>
      </c>
      <c r="J128" s="4">
        <f t="shared" si="2"/>
        <v>0</v>
      </c>
      <c r="K128" s="5" t="s">
        <v>35</v>
      </c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8">
        <v>0</v>
      </c>
      <c r="B129" s="8"/>
      <c r="C129" s="8" t="s">
        <v>287</v>
      </c>
      <c r="D129" s="8" t="s">
        <v>398</v>
      </c>
      <c r="E129" s="5" t="s">
        <v>289</v>
      </c>
      <c r="F129" s="5" t="s">
        <v>399</v>
      </c>
      <c r="G129" s="8" t="s">
        <v>43</v>
      </c>
      <c r="H129" s="5" t="s">
        <v>400</v>
      </c>
      <c r="I129" s="4">
        <v>2.4E-2</v>
      </c>
      <c r="J129" s="4">
        <f t="shared" si="2"/>
        <v>0</v>
      </c>
      <c r="K129" s="5" t="s">
        <v>35</v>
      </c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8">
        <v>0</v>
      </c>
      <c r="B130" s="8"/>
      <c r="C130" s="8" t="s">
        <v>287</v>
      </c>
      <c r="D130" s="8" t="s">
        <v>401</v>
      </c>
      <c r="E130" s="5" t="s">
        <v>289</v>
      </c>
      <c r="F130" s="5" t="s">
        <v>402</v>
      </c>
      <c r="G130" s="8" t="s">
        <v>43</v>
      </c>
      <c r="H130" s="5" t="s">
        <v>403</v>
      </c>
      <c r="I130" s="4">
        <v>2.4E-2</v>
      </c>
      <c r="J130" s="4">
        <f t="shared" si="2"/>
        <v>0</v>
      </c>
      <c r="K130" s="5" t="s">
        <v>35</v>
      </c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8">
        <v>0</v>
      </c>
      <c r="B131" s="8"/>
      <c r="C131" s="8" t="s">
        <v>287</v>
      </c>
      <c r="D131" s="8" t="s">
        <v>404</v>
      </c>
      <c r="E131" s="5" t="s">
        <v>289</v>
      </c>
      <c r="F131" s="5" t="s">
        <v>405</v>
      </c>
      <c r="G131" s="8" t="s">
        <v>43</v>
      </c>
      <c r="H131" s="5" t="s">
        <v>406</v>
      </c>
      <c r="I131" s="4">
        <v>2.4E-2</v>
      </c>
      <c r="J131" s="4">
        <f t="shared" si="2"/>
        <v>0</v>
      </c>
      <c r="K131" s="5" t="s">
        <v>35</v>
      </c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8">
        <v>0</v>
      </c>
      <c r="B132" s="8"/>
      <c r="C132" s="8" t="s">
        <v>287</v>
      </c>
      <c r="D132" s="8" t="s">
        <v>407</v>
      </c>
      <c r="E132" s="5" t="s">
        <v>289</v>
      </c>
      <c r="F132" s="5" t="s">
        <v>408</v>
      </c>
      <c r="G132" s="8" t="s">
        <v>43</v>
      </c>
      <c r="H132" s="5" t="s">
        <v>409</v>
      </c>
      <c r="I132" s="4">
        <v>2.4E-2</v>
      </c>
      <c r="J132" s="4">
        <f t="shared" si="2"/>
        <v>0</v>
      </c>
      <c r="K132" s="5" t="s">
        <v>35</v>
      </c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8">
        <v>0</v>
      </c>
      <c r="B133" s="8"/>
      <c r="C133" s="8" t="s">
        <v>287</v>
      </c>
      <c r="D133" s="8" t="s">
        <v>410</v>
      </c>
      <c r="E133" s="5" t="s">
        <v>289</v>
      </c>
      <c r="F133" s="5" t="s">
        <v>411</v>
      </c>
      <c r="G133" s="8" t="s">
        <v>43</v>
      </c>
      <c r="H133" s="5" t="s">
        <v>412</v>
      </c>
      <c r="I133" s="4">
        <v>2.4E-2</v>
      </c>
      <c r="J133" s="4">
        <f t="shared" si="2"/>
        <v>0</v>
      </c>
      <c r="K133" s="5" t="s">
        <v>35</v>
      </c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8">
        <v>0</v>
      </c>
      <c r="B134" s="8"/>
      <c r="C134" s="8" t="s">
        <v>287</v>
      </c>
      <c r="D134" s="8" t="s">
        <v>413</v>
      </c>
      <c r="E134" s="5" t="s">
        <v>289</v>
      </c>
      <c r="F134" s="5" t="s">
        <v>414</v>
      </c>
      <c r="G134" s="8" t="s">
        <v>43</v>
      </c>
      <c r="H134" s="5" t="s">
        <v>415</v>
      </c>
      <c r="I134" s="4">
        <v>2.4E-2</v>
      </c>
      <c r="J134" s="4">
        <f t="shared" si="2"/>
        <v>0</v>
      </c>
      <c r="K134" s="5" t="s">
        <v>35</v>
      </c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8">
        <v>0</v>
      </c>
      <c r="B135" s="8"/>
      <c r="C135" s="8" t="s">
        <v>287</v>
      </c>
      <c r="D135" s="8" t="s">
        <v>416</v>
      </c>
      <c r="E135" s="5" t="s">
        <v>289</v>
      </c>
      <c r="F135" s="5" t="s">
        <v>417</v>
      </c>
      <c r="G135" s="8" t="s">
        <v>43</v>
      </c>
      <c r="H135" s="5" t="s">
        <v>418</v>
      </c>
      <c r="I135" s="4">
        <v>2.4E-2</v>
      </c>
      <c r="J135" s="4">
        <f t="shared" si="2"/>
        <v>0</v>
      </c>
      <c r="K135" s="5" t="s">
        <v>35</v>
      </c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8">
        <v>0</v>
      </c>
      <c r="B136" s="8"/>
      <c r="C136" s="8" t="s">
        <v>287</v>
      </c>
      <c r="D136" s="8" t="s">
        <v>419</v>
      </c>
      <c r="E136" s="5" t="s">
        <v>289</v>
      </c>
      <c r="F136" s="5" t="s">
        <v>420</v>
      </c>
      <c r="G136" s="8" t="s">
        <v>43</v>
      </c>
      <c r="H136" s="5" t="s">
        <v>421</v>
      </c>
      <c r="I136" s="4">
        <v>2.4E-2</v>
      </c>
      <c r="J136" s="4">
        <f t="shared" si="2"/>
        <v>0</v>
      </c>
      <c r="K136" s="5" t="s">
        <v>35</v>
      </c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8">
        <v>0</v>
      </c>
      <c r="B137" s="8"/>
      <c r="C137" s="8" t="s">
        <v>287</v>
      </c>
      <c r="D137" s="8" t="s">
        <v>422</v>
      </c>
      <c r="E137" s="5" t="s">
        <v>289</v>
      </c>
      <c r="F137" s="5" t="s">
        <v>423</v>
      </c>
      <c r="G137" s="8" t="s">
        <v>43</v>
      </c>
      <c r="H137" s="5" t="s">
        <v>424</v>
      </c>
      <c r="I137" s="4">
        <v>2.4E-2</v>
      </c>
      <c r="J137" s="4">
        <f t="shared" si="2"/>
        <v>0</v>
      </c>
      <c r="K137" s="5" t="s">
        <v>35</v>
      </c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8">
        <v>0</v>
      </c>
      <c r="B138" s="8"/>
      <c r="C138" s="8" t="s">
        <v>287</v>
      </c>
      <c r="D138" s="8" t="s">
        <v>425</v>
      </c>
      <c r="E138" s="5" t="s">
        <v>289</v>
      </c>
      <c r="F138" s="5" t="s">
        <v>426</v>
      </c>
      <c r="G138" s="8" t="s">
        <v>43</v>
      </c>
      <c r="H138" s="5" t="s">
        <v>427</v>
      </c>
      <c r="I138" s="4">
        <v>2.4E-2</v>
      </c>
      <c r="J138" s="4">
        <f t="shared" si="2"/>
        <v>0</v>
      </c>
      <c r="K138" s="5" t="s">
        <v>35</v>
      </c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8">
        <v>0</v>
      </c>
      <c r="B139" s="8"/>
      <c r="C139" s="8" t="s">
        <v>287</v>
      </c>
      <c r="D139" s="8" t="s">
        <v>428</v>
      </c>
      <c r="E139" s="5" t="s">
        <v>289</v>
      </c>
      <c r="F139" s="5" t="s">
        <v>429</v>
      </c>
      <c r="G139" s="8" t="s">
        <v>43</v>
      </c>
      <c r="H139" s="5" t="s">
        <v>430</v>
      </c>
      <c r="I139" s="4">
        <v>2.4E-2</v>
      </c>
      <c r="J139" s="4">
        <f t="shared" si="2"/>
        <v>0</v>
      </c>
      <c r="K139" s="5" t="s">
        <v>35</v>
      </c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8">
        <v>0</v>
      </c>
      <c r="B140" s="8"/>
      <c r="C140" s="8" t="s">
        <v>287</v>
      </c>
      <c r="D140" s="8" t="s">
        <v>431</v>
      </c>
      <c r="E140" s="5" t="s">
        <v>289</v>
      </c>
      <c r="F140" s="5" t="s">
        <v>432</v>
      </c>
      <c r="G140" s="8" t="s">
        <v>43</v>
      </c>
      <c r="H140" s="5" t="s">
        <v>433</v>
      </c>
      <c r="I140" s="4">
        <v>2.4E-2</v>
      </c>
      <c r="J140" s="4">
        <f t="shared" si="2"/>
        <v>0</v>
      </c>
      <c r="K140" s="5" t="s">
        <v>35</v>
      </c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8">
        <v>0</v>
      </c>
      <c r="B141" s="8"/>
      <c r="C141" s="8" t="s">
        <v>287</v>
      </c>
      <c r="D141" s="8" t="s">
        <v>434</v>
      </c>
      <c r="E141" s="5" t="s">
        <v>289</v>
      </c>
      <c r="F141" s="5" t="s">
        <v>435</v>
      </c>
      <c r="G141" s="8" t="s">
        <v>43</v>
      </c>
      <c r="H141" s="5" t="s">
        <v>436</v>
      </c>
      <c r="I141" s="4">
        <v>2.4E-2</v>
      </c>
      <c r="J141" s="4">
        <f t="shared" si="2"/>
        <v>0</v>
      </c>
      <c r="K141" s="5" t="s">
        <v>35</v>
      </c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8">
        <v>0</v>
      </c>
      <c r="B142" s="8"/>
      <c r="C142" s="8" t="s">
        <v>287</v>
      </c>
      <c r="D142" s="8" t="s">
        <v>437</v>
      </c>
      <c r="E142" s="5" t="s">
        <v>289</v>
      </c>
      <c r="F142" s="5" t="s">
        <v>438</v>
      </c>
      <c r="G142" s="8" t="s">
        <v>43</v>
      </c>
      <c r="H142" s="5" t="s">
        <v>439</v>
      </c>
      <c r="I142" s="4">
        <v>2.4E-2</v>
      </c>
      <c r="J142" s="4">
        <f t="shared" si="2"/>
        <v>0</v>
      </c>
      <c r="K142" s="5" t="s">
        <v>35</v>
      </c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8">
        <v>0</v>
      </c>
      <c r="B143" s="8"/>
      <c r="C143" s="8" t="s">
        <v>287</v>
      </c>
      <c r="D143" s="8" t="s">
        <v>440</v>
      </c>
      <c r="E143" s="5" t="s">
        <v>289</v>
      </c>
      <c r="F143" s="5" t="s">
        <v>441</v>
      </c>
      <c r="G143" s="8" t="s">
        <v>43</v>
      </c>
      <c r="H143" s="5" t="s">
        <v>442</v>
      </c>
      <c r="I143" s="4">
        <v>2.4E-2</v>
      </c>
      <c r="J143" s="4">
        <f t="shared" si="2"/>
        <v>0</v>
      </c>
      <c r="K143" s="5" t="s">
        <v>35</v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8">
        <v>0</v>
      </c>
      <c r="B144" s="8"/>
      <c r="C144" s="8" t="s">
        <v>287</v>
      </c>
      <c r="D144" s="8" t="s">
        <v>443</v>
      </c>
      <c r="E144" s="5" t="s">
        <v>289</v>
      </c>
      <c r="F144" s="5" t="s">
        <v>444</v>
      </c>
      <c r="G144" s="8" t="s">
        <v>43</v>
      </c>
      <c r="H144" s="5" t="s">
        <v>445</v>
      </c>
      <c r="I144" s="4">
        <v>2.4E-2</v>
      </c>
      <c r="J144" s="4">
        <f t="shared" si="2"/>
        <v>0</v>
      </c>
      <c r="K144" s="5" t="s">
        <v>35</v>
      </c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8">
        <v>0</v>
      </c>
      <c r="B145" s="8"/>
      <c r="C145" s="8" t="s">
        <v>287</v>
      </c>
      <c r="D145" s="8" t="s">
        <v>446</v>
      </c>
      <c r="E145" s="5" t="s">
        <v>289</v>
      </c>
      <c r="F145" s="5" t="s">
        <v>447</v>
      </c>
      <c r="G145" s="8" t="s">
        <v>43</v>
      </c>
      <c r="H145" s="5" t="s">
        <v>448</v>
      </c>
      <c r="I145" s="4">
        <v>2.4E-2</v>
      </c>
      <c r="J145" s="4">
        <f t="shared" si="2"/>
        <v>0</v>
      </c>
      <c r="K145" s="5" t="s">
        <v>35</v>
      </c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8">
        <v>1</v>
      </c>
      <c r="B146" s="8" t="s">
        <v>449</v>
      </c>
      <c r="C146" s="8" t="s">
        <v>287</v>
      </c>
      <c r="D146" s="8" t="s">
        <v>450</v>
      </c>
      <c r="E146" s="5" t="s">
        <v>289</v>
      </c>
      <c r="F146" s="5" t="s">
        <v>451</v>
      </c>
      <c r="G146" s="8" t="s">
        <v>43</v>
      </c>
      <c r="H146" s="5" t="s">
        <v>452</v>
      </c>
      <c r="I146" s="4">
        <v>2.4E-2</v>
      </c>
      <c r="J146" s="4">
        <f t="shared" si="2"/>
        <v>2.4E-2</v>
      </c>
      <c r="K146" s="5" t="s">
        <v>35</v>
      </c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8">
        <v>0</v>
      </c>
      <c r="B147" s="8"/>
      <c r="C147" s="8" t="s">
        <v>287</v>
      </c>
      <c r="D147" s="8" t="s">
        <v>453</v>
      </c>
      <c r="E147" s="5" t="s">
        <v>289</v>
      </c>
      <c r="F147" s="5" t="s">
        <v>454</v>
      </c>
      <c r="G147" s="8" t="s">
        <v>43</v>
      </c>
      <c r="H147" s="5" t="s">
        <v>455</v>
      </c>
      <c r="I147" s="4">
        <v>2.4E-2</v>
      </c>
      <c r="J147" s="4">
        <f t="shared" si="2"/>
        <v>0</v>
      </c>
      <c r="K147" s="5" t="s">
        <v>35</v>
      </c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8">
        <v>2</v>
      </c>
      <c r="B148" s="8" t="s">
        <v>456</v>
      </c>
      <c r="C148" s="8" t="s">
        <v>457</v>
      </c>
      <c r="D148" s="8" t="s">
        <v>458</v>
      </c>
      <c r="E148" s="5" t="s">
        <v>459</v>
      </c>
      <c r="F148" s="5" t="s">
        <v>460</v>
      </c>
      <c r="G148" s="8" t="s">
        <v>30</v>
      </c>
      <c r="H148" s="5" t="s">
        <v>461</v>
      </c>
      <c r="I148" s="4">
        <v>0.86</v>
      </c>
      <c r="J148" s="4">
        <f t="shared" si="2"/>
        <v>1.72</v>
      </c>
      <c r="K148" s="5" t="s">
        <v>35</v>
      </c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8">
        <v>0</v>
      </c>
      <c r="B149" s="8"/>
      <c r="C149" s="8" t="s">
        <v>457</v>
      </c>
      <c r="D149" s="8" t="s">
        <v>462</v>
      </c>
      <c r="E149" s="8" t="s">
        <v>463</v>
      </c>
      <c r="F149" s="8" t="s">
        <v>464</v>
      </c>
      <c r="G149" s="8" t="s">
        <v>43</v>
      </c>
      <c r="H149" s="8" t="s">
        <v>465</v>
      </c>
      <c r="I149" s="4">
        <v>0.17</v>
      </c>
      <c r="J149" s="4">
        <f t="shared" si="2"/>
        <v>0</v>
      </c>
      <c r="K149" s="5" t="s">
        <v>35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8">
        <v>0</v>
      </c>
      <c r="B150" s="8"/>
      <c r="C150" s="8" t="s">
        <v>457</v>
      </c>
      <c r="D150" s="8" t="s">
        <v>466</v>
      </c>
      <c r="E150" s="8"/>
      <c r="F150" s="8"/>
      <c r="G150" s="8"/>
      <c r="H150" s="8"/>
      <c r="I150" s="4">
        <v>0.35</v>
      </c>
      <c r="J150" s="4">
        <f t="shared" si="2"/>
        <v>0</v>
      </c>
      <c r="K150" s="5" t="s">
        <v>35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8">
        <v>0</v>
      </c>
      <c r="B151" s="8"/>
      <c r="C151" s="8" t="s">
        <v>457</v>
      </c>
      <c r="D151" s="8" t="s">
        <v>467</v>
      </c>
      <c r="E151" s="8"/>
      <c r="F151" s="8"/>
      <c r="G151" s="8"/>
      <c r="H151" s="8"/>
      <c r="I151" s="4">
        <v>0.35</v>
      </c>
      <c r="J151" s="4">
        <f t="shared" si="2"/>
        <v>0</v>
      </c>
      <c r="K151" s="5" t="s">
        <v>35</v>
      </c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8">
        <v>0</v>
      </c>
      <c r="B152" s="8"/>
      <c r="C152" s="8" t="s">
        <v>457</v>
      </c>
      <c r="D152" s="8" t="s">
        <v>468</v>
      </c>
      <c r="E152" s="8"/>
      <c r="F152" s="8"/>
      <c r="G152" s="8" t="s">
        <v>249</v>
      </c>
      <c r="H152" s="8" t="s">
        <v>469</v>
      </c>
      <c r="I152" s="4">
        <v>0.85</v>
      </c>
      <c r="J152" s="4">
        <f t="shared" si="2"/>
        <v>0</v>
      </c>
      <c r="K152" s="5" t="s">
        <v>35</v>
      </c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8">
        <v>0</v>
      </c>
      <c r="B153" s="8"/>
      <c r="C153" s="8" t="s">
        <v>470</v>
      </c>
      <c r="D153" s="8" t="s">
        <v>471</v>
      </c>
      <c r="E153" s="8" t="s">
        <v>472</v>
      </c>
      <c r="F153" s="5" t="s">
        <v>473</v>
      </c>
      <c r="G153" s="8" t="s">
        <v>43</v>
      </c>
      <c r="H153" s="8" t="s">
        <v>474</v>
      </c>
      <c r="I153" s="4">
        <v>0.13</v>
      </c>
      <c r="J153" s="4">
        <f t="shared" si="2"/>
        <v>0</v>
      </c>
      <c r="K153" s="5" t="s">
        <v>35</v>
      </c>
      <c r="L153" s="5" t="s">
        <v>475</v>
      </c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8">
        <v>0</v>
      </c>
      <c r="B154" s="8"/>
      <c r="C154" s="8" t="s">
        <v>470</v>
      </c>
      <c r="D154" s="8" t="s">
        <v>476</v>
      </c>
      <c r="E154" s="8" t="s">
        <v>163</v>
      </c>
      <c r="F154" s="8" t="s">
        <v>477</v>
      </c>
      <c r="G154" s="8" t="s">
        <v>43</v>
      </c>
      <c r="H154" s="8" t="s">
        <v>478</v>
      </c>
      <c r="I154" s="4">
        <v>0.68</v>
      </c>
      <c r="J154" s="4">
        <f t="shared" si="2"/>
        <v>0</v>
      </c>
      <c r="K154" s="5" t="s">
        <v>35</v>
      </c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8">
        <v>0</v>
      </c>
      <c r="B155" s="8"/>
      <c r="C155" s="8" t="s">
        <v>470</v>
      </c>
      <c r="D155" s="8" t="s">
        <v>479</v>
      </c>
      <c r="E155" s="8" t="s">
        <v>163</v>
      </c>
      <c r="F155" s="8" t="s">
        <v>480</v>
      </c>
      <c r="G155" s="8" t="s">
        <v>43</v>
      </c>
      <c r="H155" s="8" t="s">
        <v>481</v>
      </c>
      <c r="I155" s="4">
        <v>0.67</v>
      </c>
      <c r="J155" s="4">
        <f t="shared" si="2"/>
        <v>0</v>
      </c>
      <c r="K155" s="5" t="s">
        <v>35</v>
      </c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8">
        <v>0</v>
      </c>
      <c r="B156" s="8"/>
      <c r="C156" s="8" t="s">
        <v>470</v>
      </c>
      <c r="D156" s="8" t="s">
        <v>482</v>
      </c>
      <c r="E156" s="8"/>
      <c r="F156" s="8" t="s">
        <v>483</v>
      </c>
      <c r="G156" s="8" t="s">
        <v>43</v>
      </c>
      <c r="H156" s="8" t="s">
        <v>484</v>
      </c>
      <c r="I156" s="4">
        <v>1.95</v>
      </c>
      <c r="J156" s="4">
        <f t="shared" si="2"/>
        <v>0</v>
      </c>
      <c r="K156" s="5" t="s">
        <v>24</v>
      </c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8">
        <v>2</v>
      </c>
      <c r="B157" s="8" t="s">
        <v>485</v>
      </c>
      <c r="C157" s="8" t="s">
        <v>470</v>
      </c>
      <c r="D157" s="5" t="s">
        <v>486</v>
      </c>
      <c r="E157" s="5" t="s">
        <v>487</v>
      </c>
      <c r="F157" s="8" t="s">
        <v>488</v>
      </c>
      <c r="G157" s="8" t="s">
        <v>30</v>
      </c>
      <c r="H157" s="12" t="s">
        <v>489</v>
      </c>
      <c r="I157" s="4">
        <v>1.58</v>
      </c>
      <c r="J157" s="4">
        <f t="shared" si="2"/>
        <v>3.16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13">
        <v>3</v>
      </c>
      <c r="B158" s="13" t="s">
        <v>490</v>
      </c>
      <c r="C158" s="13" t="s">
        <v>166</v>
      </c>
      <c r="D158" s="13" t="s">
        <v>491</v>
      </c>
      <c r="E158" s="13" t="s">
        <v>492</v>
      </c>
      <c r="F158" s="13" t="s">
        <v>493</v>
      </c>
      <c r="G158" s="13" t="s">
        <v>494</v>
      </c>
      <c r="H158" s="13" t="s">
        <v>493</v>
      </c>
      <c r="I158" s="14">
        <v>1.83</v>
      </c>
      <c r="J158" s="14">
        <f>I158 * A158</f>
        <v>5.49</v>
      </c>
      <c r="K158" s="15" t="s">
        <v>224</v>
      </c>
      <c r="L158" s="16" t="s">
        <v>495</v>
      </c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8">
        <v>2</v>
      </c>
      <c r="B159" s="8"/>
      <c r="C159" s="8" t="s">
        <v>496</v>
      </c>
      <c r="D159" s="8" t="s">
        <v>497</v>
      </c>
      <c r="E159" s="8" t="s">
        <v>498</v>
      </c>
      <c r="G159" s="8" t="s">
        <v>494</v>
      </c>
      <c r="H159" s="8"/>
      <c r="I159" s="4">
        <v>5.09</v>
      </c>
      <c r="J159" s="4">
        <v>0</v>
      </c>
      <c r="K159" s="5" t="s">
        <v>499</v>
      </c>
      <c r="L159" s="17" t="s">
        <v>500</v>
      </c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8">
        <v>2</v>
      </c>
      <c r="B160" s="8"/>
      <c r="C160" s="8" t="s">
        <v>496</v>
      </c>
      <c r="D160" s="8" t="s">
        <v>501</v>
      </c>
      <c r="E160" s="8" t="s">
        <v>502</v>
      </c>
      <c r="F160" s="8"/>
      <c r="G160" s="8" t="s">
        <v>494</v>
      </c>
      <c r="H160" s="8"/>
      <c r="I160" s="4">
        <v>12.19</v>
      </c>
      <c r="J160" s="4">
        <f>I160 * A160</f>
        <v>24.38</v>
      </c>
      <c r="K160" s="5" t="s">
        <v>224</v>
      </c>
      <c r="L160" s="17" t="s">
        <v>503</v>
      </c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8">
        <v>2</v>
      </c>
      <c r="B161" s="8" t="s">
        <v>504</v>
      </c>
      <c r="C161" s="8" t="s">
        <v>505</v>
      </c>
      <c r="D161" s="8" t="s">
        <v>506</v>
      </c>
      <c r="E161" s="8" t="s">
        <v>507</v>
      </c>
      <c r="F161" s="8"/>
      <c r="G161" s="8" t="s">
        <v>494</v>
      </c>
      <c r="H161" s="18" t="s">
        <v>508</v>
      </c>
      <c r="I161" s="4">
        <f>10.19/5</f>
        <v>2.0379999999999998</v>
      </c>
      <c r="J161" s="4">
        <v>4.08</v>
      </c>
      <c r="K161" s="5" t="s">
        <v>224</v>
      </c>
      <c r="L161" s="17" t="s">
        <v>509</v>
      </c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8">
        <v>0</v>
      </c>
      <c r="B162" s="8"/>
      <c r="C162" s="8" t="s">
        <v>166</v>
      </c>
      <c r="D162" s="19" t="s">
        <v>510</v>
      </c>
      <c r="E162" s="8" t="s">
        <v>511</v>
      </c>
      <c r="F162" s="5" t="s">
        <v>512</v>
      </c>
      <c r="G162" s="8" t="s">
        <v>511</v>
      </c>
      <c r="H162" s="8" t="s">
        <v>513</v>
      </c>
      <c r="I162" s="4">
        <v>25.98</v>
      </c>
      <c r="J162" s="4">
        <v>0</v>
      </c>
      <c r="K162" s="5" t="s">
        <v>224</v>
      </c>
      <c r="L162" s="17" t="s">
        <v>514</v>
      </c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8">
        <v>0</v>
      </c>
      <c r="B163" s="8"/>
      <c r="C163" s="8" t="s">
        <v>86</v>
      </c>
      <c r="D163" s="8" t="s">
        <v>515</v>
      </c>
      <c r="E163" s="8" t="s">
        <v>516</v>
      </c>
      <c r="F163" s="8"/>
      <c r="G163" s="8" t="s">
        <v>494</v>
      </c>
      <c r="H163" s="8"/>
      <c r="I163" s="4">
        <v>8.49</v>
      </c>
      <c r="J163" s="4">
        <v>8.49</v>
      </c>
      <c r="K163" s="5" t="s">
        <v>224</v>
      </c>
      <c r="L163" s="17" t="s">
        <v>517</v>
      </c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24">
        <v>2</v>
      </c>
      <c r="B164" s="20" t="s">
        <v>520</v>
      </c>
      <c r="C164" s="20" t="s">
        <v>166</v>
      </c>
      <c r="D164" s="20" t="s">
        <v>518</v>
      </c>
      <c r="E164" s="20" t="s">
        <v>260</v>
      </c>
      <c r="F164" s="21"/>
      <c r="G164" s="20" t="s">
        <v>260</v>
      </c>
      <c r="H164" s="21"/>
      <c r="I164" s="22">
        <v>2.5</v>
      </c>
      <c r="J164" s="22">
        <v>2.5</v>
      </c>
      <c r="K164" s="20" t="s">
        <v>224</v>
      </c>
      <c r="L164" s="23" t="s">
        <v>519</v>
      </c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4"/>
      <c r="J165" s="4">
        <f>SUM(J6:J164)</f>
        <v>103.94399999999999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4"/>
      <c r="J166" s="4">
        <f>J165 - J84 - J55</f>
        <v>60.883999999999979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4"/>
      <c r="J167" s="4">
        <f>SUM(J158:J164)</f>
        <v>44.94</v>
      </c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4"/>
      <c r="J168" s="4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4"/>
      <c r="J169" s="4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4"/>
      <c r="J170" s="4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4"/>
      <c r="J171" s="4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4"/>
      <c r="J172" s="4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4"/>
      <c r="J173" s="4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4"/>
      <c r="J174" s="4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4"/>
      <c r="J175" s="4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4"/>
      <c r="J176" s="4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4"/>
      <c r="J177" s="4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4"/>
      <c r="J178" s="4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4"/>
      <c r="J179" s="4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4"/>
      <c r="J180" s="4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4"/>
      <c r="J181" s="4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4"/>
      <c r="J182" s="4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4"/>
      <c r="J183" s="4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4"/>
      <c r="J184" s="4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4"/>
      <c r="J185" s="4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4"/>
      <c r="J186" s="4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4"/>
      <c r="J187" s="4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4"/>
      <c r="J188" s="4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4"/>
      <c r="J189" s="4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4"/>
      <c r="J190" s="4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4"/>
      <c r="J191" s="4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4"/>
      <c r="J192" s="4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4"/>
      <c r="J193" s="4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4"/>
      <c r="J194" s="4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4"/>
      <c r="J195" s="4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4"/>
      <c r="J196" s="4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4"/>
      <c r="J197" s="4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4"/>
      <c r="J198" s="4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4"/>
      <c r="J199" s="4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4"/>
      <c r="J200" s="4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4"/>
      <c r="J201" s="4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4"/>
      <c r="J202" s="4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4"/>
      <c r="J203" s="4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4"/>
      <c r="J204" s="4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4"/>
      <c r="J205" s="4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4"/>
      <c r="J206" s="4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4"/>
      <c r="J207" s="4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4"/>
      <c r="J208" s="4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4"/>
      <c r="J209" s="4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4"/>
      <c r="J210" s="4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4"/>
      <c r="J211" s="4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4"/>
      <c r="J212" s="4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4"/>
      <c r="J213" s="4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4"/>
      <c r="J214" s="4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4"/>
      <c r="J215" s="4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4"/>
      <c r="J216" s="4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4"/>
      <c r="J217" s="4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4"/>
      <c r="J218" s="4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4"/>
      <c r="J219" s="4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4"/>
      <c r="J220" s="4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4"/>
      <c r="J221" s="4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4"/>
      <c r="J222" s="4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4"/>
      <c r="J223" s="4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4"/>
      <c r="J224" s="4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4"/>
      <c r="J225" s="4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4"/>
      <c r="J226" s="4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4"/>
      <c r="J227" s="4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4"/>
      <c r="J228" s="4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4"/>
      <c r="J229" s="4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4"/>
      <c r="J230" s="4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4"/>
      <c r="J231" s="4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4"/>
      <c r="J232" s="4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4"/>
      <c r="J233" s="4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4"/>
      <c r="J234" s="4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4"/>
      <c r="J235" s="4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4"/>
      <c r="J236" s="4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4"/>
      <c r="J237" s="4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4"/>
      <c r="J238" s="4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4"/>
      <c r="J239" s="4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4"/>
      <c r="J240" s="4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4"/>
      <c r="J241" s="4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4"/>
      <c r="J242" s="4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4"/>
      <c r="J243" s="4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4"/>
      <c r="J244" s="4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4"/>
      <c r="J245" s="4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4"/>
      <c r="J246" s="4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4"/>
      <c r="J247" s="4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4"/>
      <c r="J248" s="4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4"/>
      <c r="J249" s="4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4"/>
      <c r="J250" s="4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4"/>
      <c r="J251" s="4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4"/>
      <c r="J252" s="4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4"/>
      <c r="J253" s="4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4"/>
      <c r="J254" s="4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4"/>
      <c r="J255" s="4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4"/>
      <c r="J256" s="4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4"/>
      <c r="J257" s="4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4"/>
      <c r="J258" s="4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4"/>
      <c r="J259" s="4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4"/>
      <c r="J260" s="4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4"/>
      <c r="J261" s="4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4"/>
      <c r="J262" s="4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4"/>
      <c r="J263" s="4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4"/>
      <c r="J264" s="4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4"/>
      <c r="J265" s="4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4"/>
      <c r="J266" s="4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4"/>
      <c r="J267" s="4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4"/>
      <c r="J268" s="4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4"/>
      <c r="J269" s="4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4"/>
      <c r="J270" s="4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4"/>
      <c r="J271" s="4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4"/>
      <c r="J272" s="4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4"/>
      <c r="J273" s="4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4"/>
      <c r="J274" s="4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4"/>
      <c r="J275" s="4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4"/>
      <c r="J276" s="4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4"/>
      <c r="J277" s="4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4"/>
      <c r="J278" s="4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4"/>
      <c r="J279" s="4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4"/>
      <c r="J280" s="4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4"/>
      <c r="J281" s="4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4"/>
      <c r="J282" s="4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4"/>
      <c r="J283" s="4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4"/>
      <c r="J284" s="4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4"/>
      <c r="J285" s="4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4"/>
      <c r="J286" s="4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4"/>
      <c r="J287" s="4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4"/>
      <c r="J288" s="4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4"/>
      <c r="J289" s="4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4"/>
      <c r="J290" s="4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4"/>
      <c r="J291" s="4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4"/>
      <c r="J292" s="4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4"/>
      <c r="J293" s="4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4"/>
      <c r="J294" s="4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4"/>
      <c r="J295" s="4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4"/>
      <c r="J296" s="4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4"/>
      <c r="J297" s="4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4"/>
      <c r="J298" s="4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4"/>
      <c r="J299" s="4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4"/>
      <c r="J300" s="4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4"/>
      <c r="J301" s="4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4"/>
      <c r="J302" s="4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4"/>
      <c r="J303" s="4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4"/>
      <c r="J304" s="4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4"/>
      <c r="J305" s="4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4"/>
      <c r="J306" s="4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4"/>
      <c r="J307" s="4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4"/>
      <c r="J308" s="4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4"/>
      <c r="J309" s="4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4"/>
      <c r="J310" s="4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4"/>
      <c r="J311" s="4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4"/>
      <c r="J312" s="4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4"/>
      <c r="J313" s="4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4"/>
      <c r="J314" s="4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4"/>
      <c r="J315" s="4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4"/>
      <c r="J316" s="4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4"/>
      <c r="J317" s="4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4"/>
      <c r="J318" s="4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4"/>
      <c r="J319" s="4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4"/>
      <c r="J320" s="4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4"/>
      <c r="J321" s="4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4"/>
      <c r="J322" s="4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4"/>
      <c r="J323" s="4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4"/>
      <c r="J324" s="4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4"/>
      <c r="J325" s="4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4"/>
      <c r="J326" s="4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4"/>
      <c r="J327" s="4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4"/>
      <c r="J328" s="4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4"/>
      <c r="J329" s="4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4"/>
      <c r="J330" s="4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4"/>
      <c r="J331" s="4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4"/>
      <c r="J332" s="4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4"/>
      <c r="J333" s="4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4"/>
      <c r="J334" s="4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4"/>
      <c r="J335" s="4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4"/>
      <c r="J336" s="4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4"/>
      <c r="J337" s="4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4"/>
      <c r="J338" s="4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4"/>
      <c r="J339" s="4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4"/>
      <c r="J340" s="4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4"/>
      <c r="J341" s="4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4"/>
      <c r="J342" s="4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4"/>
      <c r="J343" s="4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4"/>
      <c r="J344" s="4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4"/>
      <c r="J345" s="4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4"/>
      <c r="J346" s="4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4"/>
      <c r="J347" s="4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4"/>
      <c r="J348" s="4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4"/>
      <c r="J349" s="4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4"/>
      <c r="J350" s="4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4"/>
      <c r="J351" s="4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4"/>
      <c r="J352" s="4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4"/>
      <c r="J353" s="4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4"/>
      <c r="J354" s="4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4"/>
      <c r="J355" s="4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4"/>
      <c r="J356" s="4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4"/>
      <c r="J357" s="4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4"/>
      <c r="J358" s="4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4"/>
      <c r="J359" s="4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4"/>
      <c r="J360" s="4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4"/>
      <c r="J361" s="4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4"/>
      <c r="J362" s="4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4"/>
      <c r="J363" s="4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4"/>
      <c r="J364" s="4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4"/>
      <c r="J365" s="4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4"/>
      <c r="J366" s="4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4"/>
      <c r="J367" s="4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4"/>
      <c r="J368" s="4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4"/>
      <c r="J369" s="4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4"/>
      <c r="J370" s="4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4"/>
      <c r="J371" s="4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4"/>
      <c r="J372" s="4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4"/>
      <c r="J373" s="4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4"/>
      <c r="J374" s="4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4"/>
      <c r="J375" s="4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4"/>
      <c r="J376" s="4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4"/>
      <c r="J377" s="4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4"/>
      <c r="J378" s="4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4"/>
      <c r="J379" s="4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4"/>
      <c r="J380" s="4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4"/>
      <c r="J381" s="4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4"/>
      <c r="J382" s="4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4"/>
      <c r="J383" s="4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4"/>
      <c r="J384" s="4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4"/>
      <c r="J385" s="4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4"/>
      <c r="J386" s="4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4"/>
      <c r="J387" s="4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4"/>
      <c r="J388" s="4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4"/>
      <c r="J389" s="4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4"/>
      <c r="J390" s="4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4"/>
      <c r="J391" s="4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4"/>
      <c r="J392" s="4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4"/>
      <c r="J393" s="4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4"/>
      <c r="J394" s="4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4"/>
      <c r="J395" s="4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4"/>
      <c r="J396" s="4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4"/>
      <c r="J397" s="4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4"/>
      <c r="J398" s="4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4"/>
      <c r="J399" s="4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4"/>
      <c r="J400" s="4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4"/>
      <c r="J401" s="4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4"/>
      <c r="J402" s="4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4"/>
      <c r="J403" s="4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4"/>
      <c r="J404" s="4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4"/>
      <c r="J405" s="4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4"/>
      <c r="J406" s="4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4"/>
      <c r="J407" s="4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4"/>
      <c r="J408" s="4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4"/>
      <c r="J409" s="4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4"/>
      <c r="J410" s="4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4"/>
      <c r="J411" s="4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4"/>
      <c r="J412" s="4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4"/>
      <c r="J413" s="4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4"/>
      <c r="J414" s="4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4"/>
      <c r="J415" s="4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4"/>
      <c r="J416" s="4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4"/>
      <c r="J417" s="4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4"/>
      <c r="J418" s="4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4"/>
      <c r="J419" s="4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4"/>
      <c r="J420" s="4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4"/>
      <c r="J421" s="4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4"/>
      <c r="J422" s="4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4"/>
      <c r="J423" s="4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4"/>
      <c r="J424" s="4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4"/>
      <c r="J425" s="4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4"/>
      <c r="J426" s="4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4"/>
      <c r="J427" s="4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4"/>
      <c r="J428" s="4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4"/>
      <c r="J429" s="4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4"/>
      <c r="J430" s="4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4"/>
      <c r="J431" s="4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4"/>
      <c r="J432" s="4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4"/>
      <c r="J433" s="4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4"/>
      <c r="J434" s="4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4"/>
      <c r="J435" s="4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4"/>
      <c r="J436" s="4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4"/>
      <c r="J437" s="4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4"/>
      <c r="J438" s="4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4"/>
      <c r="J439" s="4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4"/>
      <c r="J440" s="4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4"/>
      <c r="J441" s="4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4"/>
      <c r="J442" s="4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4"/>
      <c r="J443" s="4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4"/>
      <c r="J444" s="4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4"/>
      <c r="J445" s="4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4"/>
      <c r="J446" s="4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4"/>
      <c r="J447" s="4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4"/>
      <c r="J448" s="4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4"/>
      <c r="J449" s="4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4"/>
      <c r="J450" s="4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4"/>
      <c r="J451" s="4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4"/>
      <c r="J452" s="4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4"/>
      <c r="J453" s="4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4"/>
      <c r="J454" s="4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4"/>
      <c r="J455" s="4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4"/>
      <c r="J456" s="4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4"/>
      <c r="J457" s="4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4"/>
      <c r="J458" s="4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4"/>
      <c r="J459" s="4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4"/>
      <c r="J460" s="4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4"/>
      <c r="J461" s="4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4"/>
      <c r="J462" s="4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4"/>
      <c r="J463" s="4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4"/>
      <c r="J464" s="4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4"/>
      <c r="J465" s="4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4"/>
      <c r="J466" s="4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4"/>
      <c r="J467" s="4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4"/>
      <c r="J468" s="4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4"/>
      <c r="J469" s="4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4"/>
      <c r="J470" s="4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4"/>
      <c r="J471" s="4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4"/>
      <c r="J472" s="4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4"/>
      <c r="J473" s="4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4"/>
      <c r="J474" s="4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4"/>
      <c r="J475" s="4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4"/>
      <c r="J476" s="4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4"/>
      <c r="J477" s="4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4"/>
      <c r="J478" s="4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4"/>
      <c r="J479" s="4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4"/>
      <c r="J480" s="4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4"/>
      <c r="J481" s="4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4"/>
      <c r="J482" s="4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4"/>
      <c r="J483" s="4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4"/>
      <c r="J484" s="4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4"/>
      <c r="J485" s="4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4"/>
      <c r="J486" s="4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4"/>
      <c r="J487" s="4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4"/>
      <c r="J488" s="4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4"/>
      <c r="J489" s="4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4"/>
      <c r="J490" s="4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4"/>
      <c r="J491" s="4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4"/>
      <c r="J492" s="4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4"/>
      <c r="J493" s="4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4"/>
      <c r="J494" s="4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4"/>
      <c r="J495" s="4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4"/>
      <c r="J496" s="4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4"/>
      <c r="J497" s="4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4"/>
      <c r="J498" s="4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4"/>
      <c r="J499" s="4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4"/>
      <c r="J500" s="4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4"/>
      <c r="J501" s="4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4"/>
      <c r="J502" s="4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4"/>
      <c r="J503" s="4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4"/>
      <c r="J504" s="4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4"/>
      <c r="J505" s="4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4"/>
      <c r="J506" s="4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4"/>
      <c r="J507" s="4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4"/>
      <c r="J508" s="4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4"/>
      <c r="J509" s="4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4"/>
      <c r="J510" s="4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4"/>
      <c r="J511" s="4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4"/>
      <c r="J512" s="4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4"/>
      <c r="J513" s="4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4"/>
      <c r="J514" s="4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4"/>
      <c r="J515" s="4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4"/>
      <c r="J516" s="4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4"/>
      <c r="J517" s="4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4"/>
      <c r="J518" s="4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4"/>
      <c r="J519" s="4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4"/>
      <c r="J520" s="4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4"/>
      <c r="J521" s="4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4"/>
      <c r="J522" s="4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4"/>
      <c r="J523" s="4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4"/>
      <c r="J524" s="4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4"/>
      <c r="J525" s="4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4"/>
      <c r="J526" s="4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4"/>
      <c r="J527" s="4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4"/>
      <c r="J528" s="4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4"/>
      <c r="J529" s="4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4"/>
      <c r="J530" s="4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4"/>
      <c r="J531" s="4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4"/>
      <c r="J532" s="4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4"/>
      <c r="J533" s="4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4"/>
      <c r="J534" s="4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4"/>
      <c r="J535" s="4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4"/>
      <c r="J536" s="4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4"/>
      <c r="J537" s="4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4"/>
      <c r="J538" s="4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4"/>
      <c r="J539" s="4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4"/>
      <c r="J540" s="4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4"/>
      <c r="J541" s="4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4"/>
      <c r="J542" s="4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4"/>
      <c r="J543" s="4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4"/>
      <c r="J544" s="4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4"/>
      <c r="J545" s="4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4"/>
      <c r="J546" s="4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4"/>
      <c r="J547" s="4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4"/>
      <c r="J548" s="4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4"/>
      <c r="J549" s="4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4"/>
      <c r="J550" s="4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4"/>
      <c r="J551" s="4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4"/>
      <c r="J552" s="4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4"/>
      <c r="J553" s="4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4"/>
      <c r="J554" s="4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4"/>
      <c r="J555" s="4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4"/>
      <c r="J556" s="4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4"/>
      <c r="J557" s="4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4"/>
      <c r="J558" s="4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4"/>
      <c r="J559" s="4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4"/>
      <c r="J560" s="4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4"/>
      <c r="J561" s="4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4"/>
      <c r="J562" s="4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4"/>
      <c r="J563" s="4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4"/>
      <c r="J564" s="4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4"/>
      <c r="J565" s="4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4"/>
      <c r="J566" s="4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4"/>
      <c r="J567" s="4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4"/>
      <c r="J568" s="4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4"/>
      <c r="J569" s="4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4"/>
      <c r="J570" s="4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4"/>
      <c r="J571" s="4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4"/>
      <c r="J572" s="4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4"/>
      <c r="J573" s="4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4"/>
      <c r="J574" s="4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4"/>
      <c r="J575" s="4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4"/>
      <c r="J576" s="4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4"/>
      <c r="J577" s="4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4"/>
      <c r="J578" s="4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4"/>
      <c r="J579" s="4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4"/>
      <c r="J580" s="4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4"/>
      <c r="J581" s="4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4"/>
      <c r="J582" s="4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4"/>
      <c r="J583" s="4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4"/>
      <c r="J584" s="4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4"/>
      <c r="J585" s="4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4"/>
      <c r="J586" s="4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4"/>
      <c r="J587" s="4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4"/>
      <c r="J588" s="4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4"/>
      <c r="J589" s="4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4"/>
      <c r="J590" s="4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4"/>
      <c r="J591" s="4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4"/>
      <c r="J592" s="4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4"/>
      <c r="J593" s="4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4"/>
      <c r="J594" s="4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4"/>
      <c r="J595" s="4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4"/>
      <c r="J596" s="4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4"/>
      <c r="J597" s="4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4"/>
      <c r="J598" s="4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4"/>
      <c r="J599" s="4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4"/>
      <c r="J600" s="4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4"/>
      <c r="J601" s="4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4"/>
      <c r="J602" s="4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4"/>
      <c r="J603" s="4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4"/>
      <c r="J604" s="4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4"/>
      <c r="J605" s="4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4"/>
      <c r="J606" s="4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4"/>
      <c r="J607" s="4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4"/>
      <c r="J608" s="4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4"/>
      <c r="J609" s="4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4"/>
      <c r="J610" s="4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4"/>
      <c r="J611" s="4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4"/>
      <c r="J612" s="4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4"/>
      <c r="J613" s="4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4"/>
      <c r="J614" s="4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4"/>
      <c r="J615" s="4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4"/>
      <c r="J616" s="4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4"/>
      <c r="J617" s="4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4"/>
      <c r="J618" s="4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4"/>
      <c r="J619" s="4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4"/>
      <c r="J620" s="4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4"/>
      <c r="J621" s="4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4"/>
      <c r="J622" s="4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4"/>
      <c r="J623" s="4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4"/>
      <c r="J624" s="4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4"/>
      <c r="J625" s="4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4"/>
      <c r="J626" s="4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4"/>
      <c r="J627" s="4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4"/>
      <c r="J628" s="4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4"/>
      <c r="J629" s="4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4"/>
      <c r="J630" s="4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4"/>
      <c r="J631" s="4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4"/>
      <c r="J632" s="4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4"/>
      <c r="J633" s="4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4"/>
      <c r="J634" s="4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4"/>
      <c r="J635" s="4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4"/>
      <c r="J636" s="4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4"/>
      <c r="J637" s="4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4"/>
      <c r="J638" s="4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4"/>
      <c r="J639" s="4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4"/>
      <c r="J640" s="4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4"/>
      <c r="J641" s="4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4"/>
      <c r="J642" s="4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4"/>
      <c r="J643" s="4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4"/>
      <c r="J644" s="4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4"/>
      <c r="J645" s="4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4"/>
      <c r="J646" s="4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4"/>
      <c r="J647" s="4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4"/>
      <c r="J648" s="4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4"/>
      <c r="J649" s="4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4"/>
      <c r="J650" s="4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4"/>
      <c r="J651" s="4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4"/>
      <c r="J652" s="4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4"/>
      <c r="J653" s="4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4"/>
      <c r="J654" s="4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4"/>
      <c r="J655" s="4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4"/>
      <c r="J656" s="4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4"/>
      <c r="J657" s="4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4"/>
      <c r="J658" s="4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4"/>
      <c r="J659" s="4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4"/>
      <c r="J660" s="4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4"/>
      <c r="J661" s="4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4"/>
      <c r="J662" s="4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4"/>
      <c r="J663" s="4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4"/>
      <c r="J664" s="4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4"/>
      <c r="J665" s="4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4"/>
      <c r="J666" s="4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4"/>
      <c r="J667" s="4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4"/>
      <c r="J668" s="4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4"/>
      <c r="J669" s="4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4"/>
      <c r="J670" s="4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4"/>
      <c r="J671" s="4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4"/>
      <c r="J672" s="4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4"/>
      <c r="J673" s="4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4"/>
      <c r="J674" s="4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4"/>
      <c r="J675" s="4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4"/>
      <c r="J676" s="4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4"/>
      <c r="J677" s="4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4"/>
      <c r="J678" s="4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4"/>
      <c r="J679" s="4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4"/>
      <c r="J680" s="4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4"/>
      <c r="J681" s="4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4"/>
      <c r="J682" s="4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4"/>
      <c r="J683" s="4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4"/>
      <c r="J684" s="4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4"/>
      <c r="J685" s="4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4"/>
      <c r="J686" s="4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4"/>
      <c r="J687" s="4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4"/>
      <c r="J688" s="4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4"/>
      <c r="J689" s="4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4"/>
      <c r="J690" s="4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4"/>
      <c r="J691" s="4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4"/>
      <c r="J692" s="4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4"/>
      <c r="J693" s="4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4"/>
      <c r="J694" s="4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4"/>
      <c r="J695" s="4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4"/>
      <c r="J696" s="4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4"/>
      <c r="J697" s="4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4"/>
      <c r="J698" s="4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4"/>
      <c r="J699" s="4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4"/>
      <c r="J700" s="4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4"/>
      <c r="J701" s="4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4"/>
      <c r="J702" s="4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4"/>
      <c r="J703" s="4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4"/>
      <c r="J704" s="4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4"/>
      <c r="J705" s="4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4"/>
      <c r="J706" s="4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4"/>
      <c r="J707" s="4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4"/>
      <c r="J708" s="4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4"/>
      <c r="J709" s="4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4"/>
      <c r="J710" s="4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4"/>
      <c r="J711" s="4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4"/>
      <c r="J712" s="4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4"/>
      <c r="J713" s="4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4"/>
      <c r="J714" s="4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4"/>
      <c r="J715" s="4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4"/>
      <c r="J716" s="4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4"/>
      <c r="J717" s="4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4"/>
      <c r="J718" s="4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4"/>
      <c r="J719" s="4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4"/>
      <c r="J720" s="4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4"/>
      <c r="J721" s="4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4"/>
      <c r="J722" s="4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4"/>
      <c r="J723" s="4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4"/>
      <c r="J724" s="4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4"/>
      <c r="J725" s="4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4"/>
      <c r="J726" s="4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4"/>
      <c r="J727" s="4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4"/>
      <c r="J728" s="4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4"/>
      <c r="J729" s="4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4"/>
      <c r="J730" s="4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4"/>
      <c r="J731" s="4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4"/>
      <c r="J732" s="4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4"/>
      <c r="J733" s="4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4"/>
      <c r="J734" s="4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4"/>
      <c r="J735" s="4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4"/>
      <c r="J736" s="4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4"/>
      <c r="J737" s="4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4"/>
      <c r="J738" s="4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4"/>
      <c r="J739" s="4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4"/>
      <c r="J740" s="4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4"/>
      <c r="J741" s="4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4"/>
      <c r="J742" s="4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4"/>
      <c r="J743" s="4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4"/>
      <c r="J744" s="4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4"/>
      <c r="J745" s="4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4"/>
      <c r="J746" s="4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4"/>
      <c r="J747" s="4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4"/>
      <c r="J748" s="4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4"/>
      <c r="J749" s="4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4"/>
      <c r="J750" s="4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4"/>
      <c r="J751" s="4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4"/>
      <c r="J752" s="4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4"/>
      <c r="J753" s="4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4"/>
      <c r="J754" s="4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4"/>
      <c r="J755" s="4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4"/>
      <c r="J756" s="4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4"/>
      <c r="J757" s="4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4"/>
      <c r="J758" s="4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4"/>
      <c r="J759" s="4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4"/>
      <c r="J760" s="4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4"/>
      <c r="J761" s="4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4"/>
      <c r="J762" s="4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4"/>
      <c r="J763" s="4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4"/>
      <c r="J764" s="4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4"/>
      <c r="J765" s="4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4"/>
      <c r="J766" s="4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4"/>
      <c r="J767" s="4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4"/>
      <c r="J768" s="4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4"/>
      <c r="J769" s="4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4"/>
      <c r="J770" s="4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4"/>
      <c r="J771" s="4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4"/>
      <c r="J772" s="4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4"/>
      <c r="J773" s="4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4"/>
      <c r="J774" s="4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4"/>
      <c r="J775" s="4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4"/>
      <c r="J776" s="4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4"/>
      <c r="J777" s="4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4"/>
      <c r="J778" s="4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4"/>
      <c r="J779" s="4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4"/>
      <c r="J780" s="4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4"/>
      <c r="J781" s="4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4"/>
      <c r="J782" s="4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4"/>
      <c r="J783" s="4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4"/>
      <c r="J784" s="4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4"/>
      <c r="J785" s="4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4"/>
      <c r="J786" s="4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4"/>
      <c r="J787" s="4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4"/>
      <c r="J788" s="4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4"/>
      <c r="J789" s="4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4"/>
      <c r="J790" s="4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4"/>
      <c r="J791" s="4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4"/>
      <c r="J792" s="4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4"/>
      <c r="J793" s="4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4"/>
      <c r="J794" s="4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4"/>
      <c r="J795" s="4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4"/>
      <c r="J796" s="4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4"/>
      <c r="J797" s="4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4"/>
      <c r="J798" s="4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4"/>
      <c r="J799" s="4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4"/>
      <c r="J800" s="4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4"/>
      <c r="J801" s="4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4"/>
      <c r="J802" s="4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4"/>
      <c r="J803" s="4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4"/>
      <c r="J804" s="4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4"/>
      <c r="J805" s="4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4"/>
      <c r="J806" s="4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4"/>
      <c r="J807" s="4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4"/>
      <c r="J808" s="4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4"/>
      <c r="J809" s="4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4"/>
      <c r="J810" s="4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4"/>
      <c r="J811" s="4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4"/>
      <c r="J812" s="4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4"/>
      <c r="J813" s="4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4"/>
      <c r="J814" s="4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4"/>
      <c r="J815" s="4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4"/>
      <c r="J816" s="4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4"/>
      <c r="J817" s="4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4"/>
      <c r="J818" s="4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4"/>
      <c r="J819" s="4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4"/>
      <c r="J820" s="4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4"/>
      <c r="J821" s="4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4"/>
      <c r="J822" s="4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4"/>
      <c r="J823" s="4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4"/>
      <c r="J824" s="4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4"/>
      <c r="J825" s="4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4"/>
      <c r="J826" s="4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4"/>
      <c r="J827" s="4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4"/>
      <c r="J828" s="4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4"/>
      <c r="J829" s="4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4"/>
      <c r="J830" s="4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4"/>
      <c r="J831" s="4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4"/>
      <c r="J832" s="4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4"/>
      <c r="J833" s="4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4"/>
      <c r="J834" s="4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4"/>
      <c r="J835" s="4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4"/>
      <c r="J836" s="4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4"/>
      <c r="J837" s="4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4"/>
      <c r="J838" s="4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4"/>
      <c r="J839" s="4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4"/>
      <c r="J840" s="4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4"/>
      <c r="J841" s="4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4"/>
      <c r="J842" s="4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4"/>
      <c r="J843" s="4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4"/>
      <c r="J844" s="4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4"/>
      <c r="J845" s="4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4"/>
      <c r="J846" s="4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4"/>
      <c r="J847" s="4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4"/>
      <c r="J848" s="4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4"/>
      <c r="J849" s="4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4"/>
      <c r="J850" s="4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4"/>
      <c r="J851" s="4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4"/>
      <c r="J852" s="4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4"/>
      <c r="J853" s="4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4"/>
      <c r="J854" s="4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4"/>
      <c r="J855" s="4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4"/>
      <c r="J856" s="4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4"/>
      <c r="J857" s="4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4"/>
      <c r="J858" s="4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4"/>
      <c r="J859" s="4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4"/>
      <c r="J860" s="4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4"/>
      <c r="J861" s="4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4"/>
      <c r="J862" s="4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4"/>
      <c r="J863" s="4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4"/>
      <c r="J864" s="4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4"/>
      <c r="J865" s="4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4"/>
      <c r="J866" s="4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4"/>
      <c r="J867" s="4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4"/>
      <c r="J868" s="4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4"/>
      <c r="J869" s="4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4"/>
      <c r="J870" s="4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4"/>
      <c r="J871" s="4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4"/>
      <c r="J872" s="4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4"/>
      <c r="J873" s="4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4"/>
      <c r="J874" s="4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4"/>
      <c r="J875" s="4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4"/>
      <c r="J876" s="4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4"/>
      <c r="J877" s="4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4"/>
      <c r="J878" s="4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4"/>
      <c r="J879" s="4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4"/>
      <c r="J880" s="4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4"/>
      <c r="J881" s="4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4"/>
      <c r="J882" s="4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4"/>
      <c r="J883" s="4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4"/>
      <c r="J884" s="4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4"/>
      <c r="J885" s="4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4"/>
      <c r="J886" s="4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4"/>
      <c r="J887" s="4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4"/>
      <c r="J888" s="4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4"/>
      <c r="J889" s="4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4"/>
      <c r="J890" s="4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4"/>
      <c r="J891" s="4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4"/>
      <c r="J892" s="4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4"/>
      <c r="J893" s="4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4"/>
      <c r="J894" s="4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4"/>
      <c r="J895" s="4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4"/>
      <c r="J896" s="4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4"/>
      <c r="J897" s="4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4"/>
      <c r="J898" s="4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4"/>
      <c r="J899" s="4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4"/>
      <c r="J900" s="4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4"/>
      <c r="J901" s="4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4"/>
      <c r="J902" s="4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4"/>
      <c r="J903" s="4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4"/>
      <c r="J904" s="4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4"/>
      <c r="J905" s="4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4"/>
      <c r="J906" s="4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4"/>
      <c r="J907" s="4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4"/>
      <c r="J908" s="4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4"/>
      <c r="J909" s="4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4"/>
      <c r="J910" s="4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4"/>
      <c r="J911" s="4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4"/>
      <c r="J912" s="4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4"/>
      <c r="J913" s="4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4"/>
      <c r="J914" s="4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4"/>
      <c r="J915" s="4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4"/>
      <c r="J916" s="4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4"/>
      <c r="J917" s="4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4"/>
      <c r="J918" s="4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4"/>
      <c r="J919" s="4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4"/>
      <c r="J920" s="4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4"/>
      <c r="J921" s="4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4"/>
      <c r="J922" s="4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4"/>
      <c r="J923" s="4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4"/>
      <c r="J924" s="4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4"/>
      <c r="J925" s="4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4"/>
      <c r="J926" s="4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4"/>
      <c r="J927" s="4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4"/>
      <c r="J928" s="4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4"/>
      <c r="J929" s="4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4"/>
      <c r="J930" s="4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4"/>
      <c r="J931" s="4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4"/>
      <c r="J932" s="4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4"/>
      <c r="J933" s="4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4"/>
      <c r="J934" s="4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4"/>
      <c r="J935" s="4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4"/>
      <c r="J936" s="4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4"/>
      <c r="J937" s="4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4"/>
      <c r="J938" s="4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4"/>
      <c r="J939" s="4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4"/>
      <c r="J940" s="4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4"/>
      <c r="J941" s="4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4"/>
      <c r="J942" s="4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4"/>
      <c r="J943" s="4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4"/>
      <c r="J944" s="4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4"/>
      <c r="J945" s="4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4"/>
      <c r="J946" s="4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4"/>
      <c r="J947" s="4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4"/>
      <c r="J948" s="4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4"/>
      <c r="J949" s="4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4"/>
      <c r="J950" s="4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4"/>
      <c r="J951" s="4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4"/>
      <c r="J952" s="4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4"/>
      <c r="J953" s="4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4"/>
      <c r="J954" s="4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4"/>
      <c r="J955" s="4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4"/>
      <c r="J956" s="4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4"/>
      <c r="J957" s="4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4"/>
      <c r="J958" s="4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4"/>
      <c r="J959" s="4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4"/>
      <c r="J960" s="4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4"/>
      <c r="J961" s="4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4"/>
      <c r="J962" s="4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4"/>
      <c r="J963" s="4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4"/>
      <c r="J964" s="4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4"/>
      <c r="J965" s="4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4"/>
      <c r="J966" s="4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4"/>
      <c r="J967" s="4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4"/>
      <c r="J968" s="4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4"/>
      <c r="J969" s="4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4"/>
      <c r="J970" s="4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4"/>
      <c r="J971" s="4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4"/>
      <c r="J972" s="4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4"/>
      <c r="J973" s="4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4"/>
      <c r="J974" s="4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4"/>
      <c r="J975" s="4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4"/>
      <c r="J976" s="4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4"/>
      <c r="J977" s="4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4"/>
      <c r="J978" s="4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4"/>
      <c r="J979" s="4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4"/>
      <c r="J980" s="4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4"/>
      <c r="J981" s="4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4"/>
      <c r="J982" s="4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4"/>
      <c r="J983" s="4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4"/>
      <c r="J984" s="4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4"/>
      <c r="J985" s="4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4"/>
      <c r="J986" s="4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4"/>
      <c r="J987" s="4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4"/>
      <c r="J988" s="4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4"/>
      <c r="J989" s="4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4"/>
      <c r="J990" s="4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4"/>
      <c r="J991" s="4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4"/>
      <c r="J992" s="4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4"/>
      <c r="J993" s="4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4"/>
      <c r="J994" s="4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4"/>
      <c r="J995" s="4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4"/>
      <c r="J996" s="4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4"/>
      <c r="J997" s="4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4"/>
      <c r="J998" s="4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autoFilter ref="A5:J34" xr:uid="{00000000-0009-0000-0000-000000000000}">
    <sortState xmlns:xlrd2="http://schemas.microsoft.com/office/spreadsheetml/2017/richdata2" ref="A5:J34">
      <sortCondition ref="C5:C34"/>
    </sortState>
  </autoFilter>
  <conditionalFormatting sqref="L1:L89 L91:L163 L165:L998">
    <cfRule type="notContainsBlanks" dxfId="0" priority="1">
      <formula>LEN(TRIM(L1))&gt;0</formula>
    </cfRule>
  </conditionalFormatting>
  <hyperlinks>
    <hyperlink ref="B4" r:id="rId1" location="common_component_prefixes" xr:uid="{00000000-0004-0000-0000-000000000000}"/>
    <hyperlink ref="L8" r:id="rId2" xr:uid="{00000000-0004-0000-0000-000001000000}"/>
    <hyperlink ref="L158" r:id="rId3" xr:uid="{00000000-0004-0000-0000-000002000000}"/>
    <hyperlink ref="L159" r:id="rId4" xr:uid="{00000000-0004-0000-0000-000003000000}"/>
    <hyperlink ref="L160" r:id="rId5" xr:uid="{00000000-0004-0000-0000-000004000000}"/>
    <hyperlink ref="L161" r:id="rId6" xr:uid="{00000000-0004-0000-0000-000005000000}"/>
    <hyperlink ref="L162" r:id="rId7" xr:uid="{00000000-0004-0000-0000-000006000000}"/>
    <hyperlink ref="L163" r:id="rId8" xr:uid="{00000000-0004-0000-0000-000007000000}"/>
    <hyperlink ref="L164" r:id="rId9" xr:uid="{9724220D-7522-45D6-9BF5-AC7ECB41BC93}"/>
  </hyperlinks>
  <pageMargins left="0.75" right="0.75" top="1" bottom="1" header="0" footer="0"/>
  <pageSetup orientation="landscape"/>
  <legacy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Aalund, Aidan L</cp:lastModifiedBy>
  <dcterms:modified xsi:type="dcterms:W3CDTF">2025-04-05T19:34:36Z</dcterms:modified>
</cp:coreProperties>
</file>